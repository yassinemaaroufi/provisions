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480" yWindow="300" windowWidth="15480" windowHeight="9120" activeTab="2"/>
  </bookViews>
  <sheets>
    <sheet name="Sommaire" sheetId="12" r:id="rId1"/>
    <sheet name="Manuel" sheetId="9" r:id="rId2"/>
    <sheet name="Récap" sheetId="1" r:id="rId3"/>
    <sheet name="Composition" sheetId="2" r:id="rId4"/>
    <sheet name="Cours" sheetId="3" r:id="rId5"/>
    <sheet name="composition (2)" sheetId="8" state="hidden" r:id="rId6"/>
    <sheet name="Dictionnaire codes" sheetId="10" r:id="rId7"/>
    <sheet name="Composition (3)" sheetId="11" state="hidden" r:id="rId8"/>
  </sheets>
  <functionGroups/>
  <calcPr calcId="125725"/>
</workbook>
</file>

<file path=xl/calcChain.xml><?xml version="1.0" encoding="utf-8"?>
<calcChain xmlns="http://schemas.openxmlformats.org/spreadsheetml/2006/main">
  <c r="L27" i="1"/>
  <c r="K27"/>
  <c r="J27"/>
  <c r="H27"/>
  <c r="G27"/>
  <c r="D27"/>
  <c r="C27"/>
  <c r="L19"/>
  <c r="K19"/>
  <c r="J19"/>
  <c r="H19"/>
  <c r="G19"/>
  <c r="D19"/>
  <c r="C19"/>
  <c r="L11"/>
  <c r="K11"/>
  <c r="J11"/>
  <c r="H11"/>
  <c r="G11"/>
  <c r="D11"/>
  <c r="C11"/>
  <c r="G36" i="11" l="1"/>
  <c r="G35"/>
  <c r="G34"/>
  <c r="G33"/>
  <c r="G32"/>
  <c r="G31"/>
  <c r="G30"/>
  <c r="G29"/>
  <c r="G28"/>
  <c r="G27"/>
  <c r="G26"/>
  <c r="G25"/>
  <c r="G24"/>
  <c r="G23"/>
  <c r="G22"/>
  <c r="G21"/>
  <c r="G20"/>
  <c r="G19"/>
  <c r="G18"/>
  <c r="G17"/>
  <c r="G16"/>
  <c r="G15"/>
  <c r="G14"/>
  <c r="G13"/>
  <c r="G12"/>
  <c r="G11"/>
  <c r="G10"/>
  <c r="G9"/>
  <c r="G8"/>
  <c r="G7"/>
  <c r="G6"/>
  <c r="G5"/>
  <c r="G36" i="8" l="1"/>
  <c r="G35"/>
  <c r="G34"/>
  <c r="G33"/>
  <c r="G32"/>
  <c r="G31"/>
  <c r="G30"/>
  <c r="G29"/>
  <c r="G28"/>
  <c r="G27"/>
  <c r="G26"/>
  <c r="G25"/>
  <c r="G24"/>
  <c r="G23"/>
  <c r="G22"/>
  <c r="G21"/>
  <c r="G20"/>
  <c r="G19"/>
  <c r="G18"/>
  <c r="G17"/>
  <c r="G16"/>
  <c r="G15"/>
  <c r="G14"/>
  <c r="G13"/>
  <c r="G12"/>
  <c r="G11"/>
  <c r="G10"/>
  <c r="G9"/>
  <c r="G8"/>
  <c r="G7"/>
  <c r="G6"/>
  <c r="G5"/>
</calcChain>
</file>

<file path=xl/comments1.xml><?xml version="1.0" encoding="utf-8"?>
<comments xmlns="http://schemas.openxmlformats.org/spreadsheetml/2006/main">
  <authors>
    <author>Auteur</author>
  </authors>
  <commentList>
    <comment ref="B3" authorId="0">
      <text>
        <r>
          <rPr>
            <b/>
            <sz val="8"/>
            <color indexed="81"/>
            <rFont val="Tahoma"/>
            <family val="2"/>
          </rPr>
          <t>Auteur:</t>
        </r>
        <r>
          <rPr>
            <sz val="8"/>
            <color indexed="81"/>
            <rFont val="Tahoma"/>
            <family val="2"/>
          </rPr>
          <t xml:space="preserve">
Remplir les intitulés à partir du tableau dans la feuille Cours.</t>
        </r>
      </text>
    </comment>
  </commentList>
</comments>
</file>

<file path=xl/comments2.xml><?xml version="1.0" encoding="utf-8"?>
<comments xmlns="http://schemas.openxmlformats.org/spreadsheetml/2006/main">
  <authors>
    <author>Auteur</author>
  </authors>
  <commentList>
    <comment ref="C4" authorId="0">
      <text>
        <r>
          <rPr>
            <b/>
            <sz val="8"/>
            <color indexed="81"/>
            <rFont val="Tahoma"/>
            <family val="2"/>
          </rPr>
          <t>Auteur:</t>
        </r>
        <r>
          <rPr>
            <sz val="8"/>
            <color indexed="81"/>
            <rFont val="Tahoma"/>
            <family val="2"/>
          </rPr>
          <t xml:space="preserve">
Remplir les codes à partir de la feuille "cours2"
Ce champ est nécessaire pour identifier les cours</t>
        </r>
      </text>
    </comment>
  </commentList>
</comments>
</file>

<file path=xl/sharedStrings.xml><?xml version="1.0" encoding="utf-8"?>
<sst xmlns="http://schemas.openxmlformats.org/spreadsheetml/2006/main" count="570" uniqueCount="222">
  <si>
    <t>Titre</t>
  </si>
  <si>
    <t>Code</t>
  </si>
  <si>
    <t>Portefeuille</t>
  </si>
  <si>
    <t>PART</t>
  </si>
  <si>
    <t>Atlanta</t>
  </si>
  <si>
    <t>ATL</t>
  </si>
  <si>
    <t>Attijari WafaBank</t>
  </si>
  <si>
    <t>ATW</t>
  </si>
  <si>
    <t>Holcim</t>
  </si>
  <si>
    <t>HOL</t>
  </si>
  <si>
    <t>Lafarge Ciments</t>
  </si>
  <si>
    <t>LAC</t>
  </si>
  <si>
    <t>Addoha</t>
  </si>
  <si>
    <t>ADH</t>
  </si>
  <si>
    <t>PLACT</t>
  </si>
  <si>
    <t>Afriquia Gaz</t>
  </si>
  <si>
    <t>GAZ</t>
  </si>
  <si>
    <t>Alliances Développement Immobilier</t>
  </si>
  <si>
    <t>ADI</t>
  </si>
  <si>
    <t>BCP</t>
  </si>
  <si>
    <t>BMCE</t>
  </si>
  <si>
    <t>BCE</t>
  </si>
  <si>
    <t>BMCI</t>
  </si>
  <si>
    <t>BCI</t>
  </si>
  <si>
    <t>CDM</t>
  </si>
  <si>
    <t>CGI</t>
  </si>
  <si>
    <t>CIH</t>
  </si>
  <si>
    <t>CNIA Saada</t>
  </si>
  <si>
    <t>CNIA</t>
  </si>
  <si>
    <t>Compagnie Minière Touissit</t>
  </si>
  <si>
    <t>CMT</t>
  </si>
  <si>
    <t>Delta Holding</t>
  </si>
  <si>
    <t>DHO</t>
  </si>
  <si>
    <t>Eqdom</t>
  </si>
  <si>
    <t>EQD</t>
  </si>
  <si>
    <t>Itissalat Al Maghrib</t>
  </si>
  <si>
    <t>IAM06</t>
  </si>
  <si>
    <t>Managem</t>
  </si>
  <si>
    <t>MNG</t>
  </si>
  <si>
    <t>Samir</t>
  </si>
  <si>
    <t>SAM</t>
  </si>
  <si>
    <t>Société Minière Imiter</t>
  </si>
  <si>
    <t>SMI</t>
  </si>
  <si>
    <t>Sofac</t>
  </si>
  <si>
    <t>SOF</t>
  </si>
  <si>
    <t>Wafaa Assurances</t>
  </si>
  <si>
    <t>WAA</t>
  </si>
  <si>
    <t>TRANS</t>
  </si>
  <si>
    <t>Composition portefeuilles action</t>
  </si>
  <si>
    <t>Nb de titres détenus</t>
  </si>
  <si>
    <t>Valeur d'acquisition</t>
  </si>
  <si>
    <t>Nb titres</t>
  </si>
  <si>
    <t>+/- value latente</t>
  </si>
  <si>
    <t>VM/VC</t>
  </si>
  <si>
    <t>Cours</t>
  </si>
  <si>
    <t>Mise à jour</t>
  </si>
  <si>
    <t>AFRIQUIA GAZ</t>
  </si>
  <si>
    <t>ALLIANCES</t>
  </si>
  <si>
    <t>ALUMINIUM DU MAROC</t>
  </si>
  <si>
    <t>ATLANTA</t>
  </si>
  <si>
    <t>ATTIJARIWAFA BANK</t>
  </si>
  <si>
    <t>AUTO HALL</t>
  </si>
  <si>
    <t>AUTO NEJMA</t>
  </si>
  <si>
    <t>BALIMA</t>
  </si>
  <si>
    <t>BMCE BANK</t>
  </si>
  <si>
    <t>BRANOMA</t>
  </si>
  <si>
    <t>CARTIER SAADA</t>
  </si>
  <si>
    <t>CENTRALE LAITIERE</t>
  </si>
  <si>
    <t>COLORADO</t>
  </si>
  <si>
    <t>COSUMAR</t>
  </si>
  <si>
    <t>CTM</t>
  </si>
  <si>
    <t>DARI COUSPATE</t>
  </si>
  <si>
    <t>DIAC SALAF</t>
  </si>
  <si>
    <t>DISWAY</t>
  </si>
  <si>
    <t>DOUJA PROM ADDOHA</t>
  </si>
  <si>
    <t>EQDOM</t>
  </si>
  <si>
    <t>FENIE BROSSETTE</t>
  </si>
  <si>
    <t>FERTIMA</t>
  </si>
  <si>
    <t>HPS</t>
  </si>
  <si>
    <t>IB MAROC.COM</t>
  </si>
  <si>
    <t>INVOLYS</t>
  </si>
  <si>
    <t>LABEL VIE</t>
  </si>
  <si>
    <t>LAFARGE CIMENTS</t>
  </si>
  <si>
    <t>LYDEC</t>
  </si>
  <si>
    <t>MAGHREB OXYGENE</t>
  </si>
  <si>
    <t>MAGHREBAIL</t>
  </si>
  <si>
    <t>MANAGEM</t>
  </si>
  <si>
    <t>MAROC LEASING</t>
  </si>
  <si>
    <t>MED PAPER</t>
  </si>
  <si>
    <t>MEDIACO MAROC</t>
  </si>
  <si>
    <t>MICRODATA</t>
  </si>
  <si>
    <t>NEXANS MAROC</t>
  </si>
  <si>
    <t>OULMES</t>
  </si>
  <si>
    <t>REBAB COMPANY</t>
  </si>
  <si>
    <t>RISMA</t>
  </si>
  <si>
    <t>SALAFIN</t>
  </si>
  <si>
    <t>SAMIR</t>
  </si>
  <si>
    <t>SCE</t>
  </si>
  <si>
    <t>SNEP</t>
  </si>
  <si>
    <t>SOFAC</t>
  </si>
  <si>
    <t>SONASID</t>
  </si>
  <si>
    <t>SOTHEMA</t>
  </si>
  <si>
    <t>STROC INDUSTRIE</t>
  </si>
  <si>
    <t>TASLIF</t>
  </si>
  <si>
    <t>TIMAR</t>
  </si>
  <si>
    <t>UNIMER</t>
  </si>
  <si>
    <t>WAFA ASSURANCE</t>
  </si>
  <si>
    <t>Cours d'acquisition</t>
  </si>
  <si>
    <t>Cours valorisation</t>
  </si>
  <si>
    <t>Valeur marché</t>
  </si>
  <si>
    <t>LESIEUR CRISTAL</t>
  </si>
  <si>
    <t>CNIA SAADA</t>
  </si>
  <si>
    <t>CIMENTS DU MAROC</t>
  </si>
  <si>
    <t>JET ALU MAROC SA</t>
  </si>
  <si>
    <t>AFRIC INDUSTRIES SA</t>
  </si>
  <si>
    <t>BRASSERIES DU MAROC</t>
  </si>
  <si>
    <t>ENNAKL</t>
  </si>
  <si>
    <t>STOKVIS NORD AFRIQUE</t>
  </si>
  <si>
    <t>REALIS. MECANIQUES</t>
  </si>
  <si>
    <t>PROMOPHARM S.A.</t>
  </si>
  <si>
    <t>DELATTRE LEVIVIER MAROC</t>
  </si>
  <si>
    <t>S.M MONETIQUE</t>
  </si>
  <si>
    <t>MINIERE TOUISSIT</t>
  </si>
  <si>
    <t>DELTA HOLDING S.A</t>
  </si>
  <si>
    <t>ZELLIDJA S.A</t>
  </si>
  <si>
    <t>CR SAADA J01</t>
  </si>
  <si>
    <t>M2M G</t>
  </si>
  <si>
    <t>AttijariWafa Bank</t>
  </si>
  <si>
    <t>AGMA LAHLOU-TAZI</t>
  </si>
  <si>
    <t>AXA CREDIT</t>
  </si>
  <si>
    <t>ITISSALAT AL-MAGHRIB</t>
  </si>
  <si>
    <t xml:space="preserve">HOLCIM </t>
  </si>
  <si>
    <t>Alliances</t>
  </si>
  <si>
    <t>Crédit du Maroc</t>
  </si>
  <si>
    <t>Dotation</t>
  </si>
  <si>
    <t>Reprise</t>
  </si>
  <si>
    <t>Manuel d'utilisation</t>
  </si>
  <si>
    <t>Etapes à suivre:</t>
  </si>
  <si>
    <t>1 - Remplir les champs du tableau dans la feuille "Composition" comme indiqué. Les champs du tableau sont tous obligatoires.</t>
  </si>
  <si>
    <t>Procédure de fonctionnement du programme:</t>
  </si>
  <si>
    <t>NB:</t>
  </si>
  <si>
    <t>Description</t>
  </si>
  <si>
    <t>Composition des portefeuilles action</t>
  </si>
  <si>
    <t>Ce programme calcul les provisions des portefeuilles actions ainsi que les plus/moins values à partir des derniers cours publiés par la bourse de Casablanca. Le programme produit une série de tableaux récapitulatifs dans la feuille "Récap".</t>
  </si>
  <si>
    <t>2 - Calcul des indicateurs liés aux provisions soit les plus/moins values latentes et les dotations/reprises.</t>
  </si>
  <si>
    <t>Provision initiale</t>
  </si>
  <si>
    <t>Intitulé Bourse Casa</t>
  </si>
  <si>
    <t>IAM</t>
  </si>
  <si>
    <t>LBV</t>
  </si>
  <si>
    <t>CMA</t>
  </si>
  <si>
    <t>M2M</t>
  </si>
  <si>
    <t>SID</t>
  </si>
  <si>
    <t>STR</t>
  </si>
  <si>
    <t>MAB</t>
  </si>
  <si>
    <t>ATH</t>
  </si>
  <si>
    <t>LYD</t>
  </si>
  <si>
    <t>COL</t>
  </si>
  <si>
    <t>SLF</t>
  </si>
  <si>
    <t>AGM</t>
  </si>
  <si>
    <t>JALU</t>
  </si>
  <si>
    <t>S2M</t>
  </si>
  <si>
    <t>1 - Ne pas supprimer les titres du tableau dans la feuille "Composition".</t>
  </si>
  <si>
    <t>2 - Ne pas modifier les titres des feuilles.</t>
  </si>
  <si>
    <t>3 - Remplir le tableau "Dictionnaire codes" si nécessaire.</t>
  </si>
  <si>
    <t>Sommaire</t>
  </si>
  <si>
    <t>Rubrique</t>
  </si>
  <si>
    <t>Titre de la feuille</t>
  </si>
  <si>
    <t>Manuel</t>
  </si>
  <si>
    <t>Tableaux récapitulatifs</t>
  </si>
  <si>
    <t>Récap</t>
  </si>
  <si>
    <t>Composition des portefeuilles</t>
  </si>
  <si>
    <t>Composition</t>
  </si>
  <si>
    <t>Cours boursiers</t>
  </si>
  <si>
    <t>Dictionnaire des codes des titres</t>
  </si>
  <si>
    <t>Dictionnaire codes</t>
  </si>
  <si>
    <t>AFI</t>
  </si>
  <si>
    <t>ALM</t>
  </si>
  <si>
    <t>NEJ</t>
  </si>
  <si>
    <t>AXC</t>
  </si>
  <si>
    <t>BAL</t>
  </si>
  <si>
    <t>BNM</t>
  </si>
  <si>
    <t>SBM</t>
  </si>
  <si>
    <t>CRS</t>
  </si>
  <si>
    <t>CLT</t>
  </si>
  <si>
    <t>CSR</t>
  </si>
  <si>
    <t>DARI</t>
  </si>
  <si>
    <t>DLM</t>
  </si>
  <si>
    <t>DIS</t>
  </si>
  <si>
    <t>DWAY</t>
  </si>
  <si>
    <t>NAKL</t>
  </si>
  <si>
    <t>FBR</t>
  </si>
  <si>
    <t>FRT</t>
  </si>
  <si>
    <t>IBMC</t>
  </si>
  <si>
    <t>INV</t>
  </si>
  <si>
    <t>LES</t>
  </si>
  <si>
    <t>MOX</t>
  </si>
  <si>
    <t>MLE</t>
  </si>
  <si>
    <t>MDP</t>
  </si>
  <si>
    <t>MED</t>
  </si>
  <si>
    <t>MIC</t>
  </si>
  <si>
    <t>NEX</t>
  </si>
  <si>
    <t>OUL</t>
  </si>
  <si>
    <t>PRO</t>
  </si>
  <si>
    <t>SRM</t>
  </si>
  <si>
    <t>REB</t>
  </si>
  <si>
    <t>RIS</t>
  </si>
  <si>
    <t>SNP</t>
  </si>
  <si>
    <t>SOT</t>
  </si>
  <si>
    <t>SNA</t>
  </si>
  <si>
    <t>TSF</t>
  </si>
  <si>
    <t>TIM</t>
  </si>
  <si>
    <t>UMR</t>
  </si>
  <si>
    <t>ZDJ</t>
  </si>
  <si>
    <t>Provision fin</t>
  </si>
  <si>
    <t>Cloture j-1</t>
  </si>
  <si>
    <t>2 - Presser le bouton "Mettre à jour" dans la feuille "Cours" pour mettre les cours à jour si nécessaire.</t>
  </si>
  <si>
    <t>3 - Choisir entre les cours du jour et les cours de cloture de la veille dans le feuille "Cours".</t>
  </si>
  <si>
    <t>4 - Presser le bouton "Commencer" dans la feuille "Récap" pour lancer le calcul.</t>
  </si>
  <si>
    <t>1 - Mise à jour des cours boursiers à partir du site internet de la bourse de casablanca. La date de la séance dont les cours sont extraits est affichée dans la feuille "Cours". Les cours du jour sont différés d'au moins 15 minutes.</t>
  </si>
  <si>
    <t>Total</t>
  </si>
  <si>
    <t>Actuel</t>
  </si>
  <si>
    <t>Dictionnaire de codes</t>
  </si>
</sst>
</file>

<file path=xl/styles.xml><?xml version="1.0" encoding="utf-8"?>
<styleSheet xmlns="http://schemas.openxmlformats.org/spreadsheetml/2006/main">
  <fonts count="7">
    <font>
      <sz val="11"/>
      <color theme="1"/>
      <name val="Calibri"/>
      <family val="2"/>
      <scheme val="minor"/>
    </font>
    <font>
      <b/>
      <sz val="11"/>
      <color theme="1"/>
      <name val="Calibri"/>
      <family val="2"/>
      <scheme val="minor"/>
    </font>
    <font>
      <sz val="8"/>
      <color indexed="81"/>
      <name val="Tahoma"/>
      <family val="2"/>
    </font>
    <font>
      <b/>
      <sz val="8"/>
      <color indexed="81"/>
      <name val="Tahoma"/>
      <family val="2"/>
    </font>
    <font>
      <sz val="11"/>
      <color rgb="FF000000"/>
      <name val="Calibri"/>
      <family val="2"/>
      <scheme val="minor"/>
    </font>
    <font>
      <b/>
      <sz val="11"/>
      <color rgb="FFFFFFFF"/>
      <name val="Calibri"/>
      <family val="2"/>
      <scheme val="minor"/>
    </font>
    <font>
      <sz val="11"/>
      <color rgb="FFFFFFFF"/>
      <name val="Calibri"/>
      <family val="2"/>
      <scheme val="minor"/>
    </font>
  </fonts>
  <fills count="6">
    <fill>
      <patternFill patternType="none"/>
    </fill>
    <fill>
      <patternFill patternType="gray125"/>
    </fill>
    <fill>
      <patternFill patternType="solid">
        <fgColor rgb="FF404040"/>
        <bgColor indexed="64"/>
      </patternFill>
    </fill>
    <fill>
      <patternFill patternType="solid">
        <fgColor rgb="FF538ED5"/>
        <bgColor indexed="64"/>
      </patternFill>
    </fill>
    <fill>
      <patternFill patternType="solid">
        <fgColor rgb="FFD8D8D8"/>
        <bgColor indexed="64"/>
      </patternFill>
    </fill>
    <fill>
      <patternFill patternType="solid">
        <fgColor theme="0" tint="-0.14999847407452621"/>
        <bgColor indexed="64"/>
      </patternFill>
    </fill>
  </fills>
  <borders count="3">
    <border>
      <left/>
      <right/>
      <top/>
      <bottom/>
      <diagonal/>
    </border>
    <border>
      <left/>
      <right/>
      <top/>
      <bottom style="thin">
        <color indexed="64"/>
      </bottom>
      <diagonal/>
    </border>
    <border>
      <left/>
      <right/>
      <top/>
      <bottom style="double">
        <color indexed="64"/>
      </bottom>
      <diagonal/>
    </border>
  </borders>
  <cellStyleXfs count="1">
    <xf numFmtId="0" fontId="0" fillId="0" borderId="0"/>
  </cellStyleXfs>
  <cellXfs count="28">
    <xf numFmtId="0" fontId="0" fillId="0" borderId="0" xfId="0"/>
    <xf numFmtId="0" fontId="1" fillId="0" borderId="0" xfId="0" applyFont="1"/>
    <xf numFmtId="0" fontId="1" fillId="0" borderId="0" xfId="0" applyFont="1" applyAlignment="1">
      <alignment horizontal="center"/>
    </xf>
    <xf numFmtId="0" fontId="0" fillId="0" borderId="0" xfId="0" applyProtection="1">
      <protection locked="0"/>
    </xf>
    <xf numFmtId="4" fontId="0" fillId="0" borderId="0" xfId="0" applyNumberFormat="1"/>
    <xf numFmtId="4" fontId="0" fillId="0" borderId="0" xfId="0" applyNumberFormat="1" applyAlignment="1"/>
    <xf numFmtId="3" fontId="0" fillId="0" borderId="0" xfId="0" applyNumberFormat="1"/>
    <xf numFmtId="0" fontId="0" fillId="0" borderId="0" xfId="0" applyAlignment="1">
      <alignment wrapText="1"/>
    </xf>
    <xf numFmtId="0" fontId="1" fillId="0" borderId="1" xfId="0" applyFont="1" applyBorder="1"/>
    <xf numFmtId="0" fontId="1" fillId="0" borderId="2" xfId="0" applyFont="1" applyBorder="1"/>
    <xf numFmtId="0" fontId="0" fillId="0" borderId="0" xfId="0" applyFont="1" applyFill="1" applyBorder="1"/>
    <xf numFmtId="0" fontId="0" fillId="0" borderId="0" xfId="0" applyFont="1"/>
    <xf numFmtId="0" fontId="5" fillId="3" borderId="0" xfId="0" applyFont="1" applyFill="1" applyAlignment="1">
      <alignment horizontal="center"/>
    </xf>
    <xf numFmtId="0" fontId="0" fillId="4" borderId="0" xfId="0" applyFill="1"/>
    <xf numFmtId="3" fontId="0" fillId="4" borderId="0" xfId="0" applyNumberFormat="1" applyFill="1"/>
    <xf numFmtId="4" fontId="0" fillId="4" borderId="0" xfId="0" applyNumberFormat="1" applyFill="1"/>
    <xf numFmtId="0" fontId="5" fillId="2" borderId="0" xfId="0" applyFont="1" applyFill="1"/>
    <xf numFmtId="3" fontId="5" fillId="2" borderId="0" xfId="0" applyNumberFormat="1" applyFont="1" applyFill="1"/>
    <xf numFmtId="4" fontId="5" fillId="2" borderId="0" xfId="0" applyNumberFormat="1" applyFont="1" applyFill="1"/>
    <xf numFmtId="0" fontId="6" fillId="2" borderId="0" xfId="0" applyFont="1" applyFill="1"/>
    <xf numFmtId="0" fontId="0" fillId="0" borderId="0" xfId="0" applyFill="1"/>
    <xf numFmtId="4" fontId="0" fillId="0" borderId="0" xfId="0" applyNumberFormat="1" applyFill="1"/>
    <xf numFmtId="4" fontId="0" fillId="4" borderId="0" xfId="0" applyNumberFormat="1" applyFill="1" applyAlignment="1"/>
    <xf numFmtId="0" fontId="1" fillId="0" borderId="2" xfId="0" applyFont="1" applyBorder="1" applyAlignment="1">
      <alignment horizontal="left"/>
    </xf>
    <xf numFmtId="0" fontId="5" fillId="2" borderId="0" xfId="0" applyFont="1" applyFill="1" applyAlignment="1">
      <alignment horizontal="center"/>
    </xf>
    <xf numFmtId="0" fontId="1" fillId="5" borderId="0" xfId="0" applyFont="1" applyFill="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control" Target="../activeX/activeX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sheetPr codeName="Feuil8"/>
  <dimension ref="A2:C9"/>
  <sheetViews>
    <sheetView showGridLines="0" view="pageLayout" zoomScaleNormal="100" workbookViewId="0">
      <selection activeCell="B4" sqref="B4"/>
    </sheetView>
  </sheetViews>
  <sheetFormatPr baseColWidth="10" defaultRowHeight="15"/>
  <cols>
    <col min="1" max="1" width="2" bestFit="1" customWidth="1"/>
    <col min="2" max="2" width="30.140625" bestFit="1" customWidth="1"/>
    <col min="3" max="3" width="16.28515625" bestFit="1" customWidth="1"/>
  </cols>
  <sheetData>
    <row r="2" spans="1:3" ht="15.75" thickBot="1">
      <c r="B2" s="23" t="s">
        <v>164</v>
      </c>
      <c r="C2" s="23"/>
    </row>
    <row r="3" spans="1:3" ht="15.75" thickTop="1"/>
    <row r="4" spans="1:3">
      <c r="B4" s="8" t="s">
        <v>165</v>
      </c>
      <c r="C4" s="8" t="s">
        <v>166</v>
      </c>
    </row>
    <row r="5" spans="1:3">
      <c r="A5">
        <v>1</v>
      </c>
      <c r="B5" t="s">
        <v>136</v>
      </c>
      <c r="C5" t="s">
        <v>167</v>
      </c>
    </row>
    <row r="6" spans="1:3">
      <c r="A6" s="11">
        <v>2</v>
      </c>
      <c r="B6" s="10" t="s">
        <v>168</v>
      </c>
      <c r="C6" t="s">
        <v>169</v>
      </c>
    </row>
    <row r="7" spans="1:3">
      <c r="A7">
        <v>3</v>
      </c>
      <c r="B7" s="10" t="s">
        <v>170</v>
      </c>
      <c r="C7" t="s">
        <v>171</v>
      </c>
    </row>
    <row r="8" spans="1:3">
      <c r="A8">
        <v>4</v>
      </c>
      <c r="B8" s="10" t="s">
        <v>172</v>
      </c>
      <c r="C8" t="s">
        <v>54</v>
      </c>
    </row>
    <row r="9" spans="1:3">
      <c r="A9">
        <v>5</v>
      </c>
      <c r="B9" s="10" t="s">
        <v>173</v>
      </c>
      <c r="C9" t="s">
        <v>174</v>
      </c>
    </row>
  </sheetData>
  <mergeCells count="1">
    <mergeCell ref="B2:C2"/>
  </mergeCells>
  <pageMargins left="0.7" right="0.7" top="0.75" bottom="0.75" header="0.3" footer="0.3"/>
  <pageSetup paperSize="9" orientation="portrait" horizontalDpi="0" verticalDpi="0" r:id="rId1"/>
  <headerFooter>
    <oddHeader>&amp;C&amp;"-,Gras"Programme de calcul des provisions</oddHeader>
  </headerFooter>
</worksheet>
</file>

<file path=xl/worksheets/sheet2.xml><?xml version="1.0" encoding="utf-8"?>
<worksheet xmlns="http://schemas.openxmlformats.org/spreadsheetml/2006/main" xmlns:r="http://schemas.openxmlformats.org/officeDocument/2006/relationships">
  <sheetPr codeName="Feuil6"/>
  <dimension ref="A2:A20"/>
  <sheetViews>
    <sheetView showGridLines="0" view="pageLayout" topLeftCell="A6" zoomScaleNormal="100" workbookViewId="0">
      <selection activeCell="A22" sqref="A22"/>
    </sheetView>
  </sheetViews>
  <sheetFormatPr baseColWidth="10" defaultRowHeight="15"/>
  <cols>
    <col min="1" max="1" width="87.5703125" customWidth="1"/>
  </cols>
  <sheetData>
    <row r="2" spans="1:1" ht="15.75" thickBot="1">
      <c r="A2" s="9" t="s">
        <v>136</v>
      </c>
    </row>
    <row r="3" spans="1:1" ht="15.75" thickTop="1">
      <c r="A3" s="1"/>
    </row>
    <row r="4" spans="1:1">
      <c r="A4" s="8" t="s">
        <v>141</v>
      </c>
    </row>
    <row r="5" spans="1:1" ht="45">
      <c r="A5" s="7" t="s">
        <v>143</v>
      </c>
    </row>
    <row r="6" spans="1:1">
      <c r="A6" s="7"/>
    </row>
    <row r="7" spans="1:1">
      <c r="A7" s="8" t="s">
        <v>137</v>
      </c>
    </row>
    <row r="8" spans="1:1" ht="30">
      <c r="A8" s="7" t="s">
        <v>138</v>
      </c>
    </row>
    <row r="9" spans="1:1" ht="30">
      <c r="A9" s="7" t="s">
        <v>215</v>
      </c>
    </row>
    <row r="10" spans="1:1">
      <c r="A10" s="7" t="s">
        <v>216</v>
      </c>
    </row>
    <row r="11" spans="1:1">
      <c r="A11" s="7" t="s">
        <v>217</v>
      </c>
    </row>
    <row r="12" spans="1:1">
      <c r="A12" s="7"/>
    </row>
    <row r="13" spans="1:1">
      <c r="A13" s="8" t="s">
        <v>139</v>
      </c>
    </row>
    <row r="14" spans="1:1" ht="45">
      <c r="A14" s="7" t="s">
        <v>218</v>
      </c>
    </row>
    <row r="15" spans="1:1" ht="30">
      <c r="A15" s="7" t="s">
        <v>144</v>
      </c>
    </row>
    <row r="17" spans="1:1">
      <c r="A17" s="8" t="s">
        <v>140</v>
      </c>
    </row>
    <row r="18" spans="1:1">
      <c r="A18" t="s">
        <v>161</v>
      </c>
    </row>
    <row r="19" spans="1:1">
      <c r="A19" t="s">
        <v>162</v>
      </c>
    </row>
    <row r="20" spans="1:1">
      <c r="A20" t="s">
        <v>163</v>
      </c>
    </row>
  </sheetData>
  <pageMargins left="0.7" right="0.7" top="0.75" bottom="0.75" header="0.3" footer="0.3"/>
  <pageSetup paperSize="9" orientation="portrait" horizontalDpi="0" verticalDpi="0" r:id="rId1"/>
  <headerFooter>
    <oddHeader>&amp;C&amp;"-,Gras"Programme de calcul des provisions</oddHeader>
  </headerFooter>
</worksheet>
</file>

<file path=xl/worksheets/sheet3.xml><?xml version="1.0" encoding="utf-8"?>
<worksheet xmlns="http://schemas.openxmlformats.org/spreadsheetml/2006/main" xmlns:r="http://schemas.openxmlformats.org/officeDocument/2006/relationships">
  <sheetPr codeName="Feuil1"/>
  <dimension ref="B5:L27"/>
  <sheetViews>
    <sheetView showGridLines="0" showRowColHeaders="0" tabSelected="1" workbookViewId="0"/>
  </sheetViews>
  <sheetFormatPr baseColWidth="10" defaultRowHeight="15"/>
  <cols>
    <col min="2" max="2" width="26" bestFit="1" customWidth="1"/>
    <col min="3" max="3" width="12.42578125" bestFit="1" customWidth="1"/>
    <col min="4" max="4" width="18.85546875" bestFit="1" customWidth="1"/>
    <col min="5" max="5" width="18" bestFit="1" customWidth="1"/>
    <col min="6" max="6" width="17" bestFit="1" customWidth="1"/>
    <col min="7" max="7" width="14.85546875" bestFit="1" customWidth="1"/>
    <col min="8" max="8" width="15.7109375" bestFit="1" customWidth="1"/>
    <col min="10" max="11" width="13.42578125" bestFit="1" customWidth="1"/>
    <col min="12" max="12" width="12.140625" bestFit="1" customWidth="1"/>
  </cols>
  <sheetData>
    <row r="5" spans="2:12">
      <c r="B5" s="24" t="s">
        <v>47</v>
      </c>
      <c r="C5" s="24"/>
      <c r="D5" s="24"/>
      <c r="E5" s="24"/>
      <c r="F5" s="24"/>
      <c r="G5" s="24"/>
      <c r="H5" s="24"/>
      <c r="I5" s="24"/>
      <c r="J5" s="24"/>
      <c r="K5" s="24"/>
      <c r="L5" s="24"/>
    </row>
    <row r="6" spans="2:12">
      <c r="B6" s="12" t="s">
        <v>0</v>
      </c>
      <c r="C6" s="12" t="s">
        <v>51</v>
      </c>
      <c r="D6" s="12" t="s">
        <v>50</v>
      </c>
      <c r="E6" s="12" t="s">
        <v>107</v>
      </c>
      <c r="F6" s="12" t="s">
        <v>108</v>
      </c>
      <c r="G6" s="12" t="s">
        <v>109</v>
      </c>
      <c r="H6" s="12" t="s">
        <v>52</v>
      </c>
      <c r="I6" s="12" t="s">
        <v>53</v>
      </c>
      <c r="J6" s="12" t="s">
        <v>213</v>
      </c>
      <c r="K6" s="12" t="s">
        <v>134</v>
      </c>
      <c r="L6" s="12" t="s">
        <v>135</v>
      </c>
    </row>
    <row r="7" spans="2:12">
      <c r="B7" s="13" t="s">
        <v>12</v>
      </c>
      <c r="C7" s="14">
        <v>110265</v>
      </c>
      <c r="D7" s="15">
        <v>7801229.5658699833</v>
      </c>
      <c r="E7" s="15">
        <v>70.749826017956593</v>
      </c>
      <c r="F7" s="15">
        <v>69.16</v>
      </c>
      <c r="G7" s="15">
        <v>7625927.3999999994</v>
      </c>
      <c r="H7" s="15">
        <v>-175302.16586998384</v>
      </c>
      <c r="I7" s="15">
        <v>0.97752890561804218</v>
      </c>
      <c r="J7" s="15">
        <v>175302.16586998384</v>
      </c>
      <c r="K7" s="15">
        <v>175302.16586998384</v>
      </c>
      <c r="L7" s="15">
        <v>0</v>
      </c>
    </row>
    <row r="8" spans="2:12">
      <c r="B8" t="s">
        <v>132</v>
      </c>
      <c r="C8" s="6">
        <v>10000</v>
      </c>
      <c r="D8" s="4">
        <v>6699666.666666667</v>
      </c>
      <c r="E8" s="4">
        <v>669.9666666666667</v>
      </c>
      <c r="F8" s="4">
        <v>695</v>
      </c>
      <c r="G8" s="4">
        <v>6950000</v>
      </c>
      <c r="H8" s="4">
        <v>250333.33333333302</v>
      </c>
      <c r="I8" s="4">
        <v>1.037365043036967</v>
      </c>
      <c r="J8" s="4">
        <v>0</v>
      </c>
      <c r="K8" s="4">
        <v>0</v>
      </c>
      <c r="L8" s="4">
        <v>0</v>
      </c>
    </row>
    <row r="9" spans="2:12">
      <c r="B9" s="13" t="s">
        <v>127</v>
      </c>
      <c r="C9" s="14">
        <v>10887</v>
      </c>
      <c r="D9" s="15">
        <v>3916539.0355199175</v>
      </c>
      <c r="E9" s="15">
        <v>359.74456099200125</v>
      </c>
      <c r="F9" s="15">
        <v>344.8</v>
      </c>
      <c r="G9" s="15">
        <v>3753837.6</v>
      </c>
      <c r="H9" s="15">
        <v>-162701.4355199174</v>
      </c>
      <c r="I9" s="15">
        <v>0.95845785423192675</v>
      </c>
      <c r="J9" s="15">
        <v>162701.4355199174</v>
      </c>
      <c r="K9" s="15">
        <v>162701.4355199174</v>
      </c>
      <c r="L9" s="15">
        <v>0</v>
      </c>
    </row>
    <row r="10" spans="2:12">
      <c r="B10" t="s">
        <v>31</v>
      </c>
      <c r="C10" s="6">
        <v>100000</v>
      </c>
      <c r="D10" s="4">
        <v>4197910.8007658515</v>
      </c>
      <c r="E10" s="4">
        <v>41.979108007658517</v>
      </c>
      <c r="F10" s="4">
        <v>35.82</v>
      </c>
      <c r="G10" s="4">
        <v>3582000</v>
      </c>
      <c r="H10" s="4">
        <v>-615910.80076585151</v>
      </c>
      <c r="I10" s="4">
        <v>0.85328158934356424</v>
      </c>
      <c r="J10" s="4">
        <v>615910.80076585151</v>
      </c>
      <c r="K10" s="4">
        <v>615910.80076585151</v>
      </c>
      <c r="L10" s="4">
        <v>0</v>
      </c>
    </row>
    <row r="11" spans="2:12">
      <c r="B11" s="16" t="s">
        <v>219</v>
      </c>
      <c r="C11" s="17">
        <f>SUM($C$7:$C$10)</f>
        <v>231152</v>
      </c>
      <c r="D11" s="18">
        <f>SUM($D$7:$D$10)</f>
        <v>22615346.068822421</v>
      </c>
      <c r="E11" s="19"/>
      <c r="F11" s="19"/>
      <c r="G11" s="18">
        <f>SUM($G$7:$G$10)</f>
        <v>21911765</v>
      </c>
      <c r="H11" s="18">
        <f>SUM($H$7:$H$10)</f>
        <v>-703581.06882241974</v>
      </c>
      <c r="I11" s="19"/>
      <c r="J11" s="18">
        <f>SUM($J$7:$J$10)</f>
        <v>953914.40215575276</v>
      </c>
      <c r="K11" s="18">
        <f>SUM($K$7:$K$10)</f>
        <v>953914.40215575276</v>
      </c>
      <c r="L11" s="18">
        <f>SUM($L$7:$L$10)</f>
        <v>0</v>
      </c>
    </row>
    <row r="13" spans="2:12">
      <c r="B13" s="24" t="s">
        <v>3</v>
      </c>
      <c r="C13" s="24"/>
      <c r="D13" s="24"/>
      <c r="E13" s="24"/>
      <c r="F13" s="24"/>
      <c r="G13" s="24"/>
      <c r="H13" s="24"/>
      <c r="I13" s="24"/>
      <c r="J13" s="24"/>
      <c r="K13" s="24"/>
      <c r="L13" s="24"/>
    </row>
    <row r="14" spans="2:12">
      <c r="B14" s="12" t="s">
        <v>0</v>
      </c>
      <c r="C14" s="12" t="s">
        <v>51</v>
      </c>
      <c r="D14" s="12" t="s">
        <v>50</v>
      </c>
      <c r="E14" s="12" t="s">
        <v>107</v>
      </c>
      <c r="F14" s="12" t="s">
        <v>108</v>
      </c>
      <c r="G14" s="12" t="s">
        <v>109</v>
      </c>
      <c r="H14" s="12" t="s">
        <v>52</v>
      </c>
      <c r="I14" s="12" t="s">
        <v>53</v>
      </c>
      <c r="J14" s="12" t="s">
        <v>213</v>
      </c>
      <c r="K14" s="12" t="s">
        <v>134</v>
      </c>
      <c r="L14" s="12" t="s">
        <v>135</v>
      </c>
    </row>
    <row r="15" spans="2:12">
      <c r="B15" s="13" t="s">
        <v>4</v>
      </c>
      <c r="C15" s="14">
        <v>10000000</v>
      </c>
      <c r="D15" s="15">
        <v>700389865.33628166</v>
      </c>
      <c r="E15" s="15">
        <v>70.038986533628162</v>
      </c>
      <c r="F15" s="15">
        <v>57</v>
      </c>
      <c r="G15" s="15">
        <v>570000000</v>
      </c>
      <c r="H15" s="15">
        <v>-130389865.33628166</v>
      </c>
      <c r="I15" s="15">
        <v>0.81383244991176884</v>
      </c>
      <c r="J15" s="15">
        <v>130389865.33628166</v>
      </c>
      <c r="K15" s="15">
        <v>130350733.79044832</v>
      </c>
      <c r="L15" s="15">
        <v>0</v>
      </c>
    </row>
    <row r="16" spans="2:12">
      <c r="B16" t="s">
        <v>127</v>
      </c>
      <c r="C16" s="6">
        <v>1350229</v>
      </c>
      <c r="D16" s="4">
        <v>186356996.02310759</v>
      </c>
      <c r="E16" s="4">
        <v>138.01880719722919</v>
      </c>
      <c r="F16" s="4">
        <v>344.8</v>
      </c>
      <c r="G16" s="4">
        <v>465558959.19999999</v>
      </c>
      <c r="H16" s="4">
        <v>279201963.1768924</v>
      </c>
      <c r="I16" s="4">
        <v>2.4982102584561536</v>
      </c>
      <c r="J16" s="4">
        <v>0</v>
      </c>
      <c r="K16" s="4">
        <v>0</v>
      </c>
      <c r="L16" s="4">
        <v>0</v>
      </c>
    </row>
    <row r="17" spans="2:12">
      <c r="B17" s="13" t="s">
        <v>8</v>
      </c>
      <c r="C17" s="14">
        <v>111000</v>
      </c>
      <c r="D17" s="15">
        <v>237616426.11981043</v>
      </c>
      <c r="E17" s="15">
        <v>2140.6885236018957</v>
      </c>
      <c r="F17" s="15">
        <v>1760</v>
      </c>
      <c r="G17" s="15">
        <v>195360000</v>
      </c>
      <c r="H17" s="15">
        <v>-42256426.119810432</v>
      </c>
      <c r="I17" s="15">
        <v>0.82216538305098485</v>
      </c>
      <c r="J17" s="15">
        <v>42256426.119810432</v>
      </c>
      <c r="K17" s="15">
        <v>23193786.879810423</v>
      </c>
      <c r="L17" s="15">
        <v>0</v>
      </c>
    </row>
    <row r="18" spans="2:12">
      <c r="B18" t="s">
        <v>10</v>
      </c>
      <c r="C18" s="6">
        <v>220000</v>
      </c>
      <c r="D18" s="4">
        <v>217460970.88500002</v>
      </c>
      <c r="E18" s="4">
        <v>988.45895856818186</v>
      </c>
      <c r="F18" s="4">
        <v>1460</v>
      </c>
      <c r="G18" s="4">
        <v>321200000</v>
      </c>
      <c r="H18" s="4">
        <v>103739029.11499998</v>
      </c>
      <c r="I18" s="4">
        <v>1.4770466566612559</v>
      </c>
      <c r="J18" s="4">
        <v>0</v>
      </c>
      <c r="K18" s="4">
        <v>0</v>
      </c>
      <c r="L18" s="4">
        <v>0</v>
      </c>
    </row>
    <row r="19" spans="2:12">
      <c r="B19" s="16" t="s">
        <v>219</v>
      </c>
      <c r="C19" s="17">
        <f>SUM($C$15:$C$18)</f>
        <v>11681229</v>
      </c>
      <c r="D19" s="18">
        <f>SUM($D$15:$D$18)</f>
        <v>1341824258.3641996</v>
      </c>
      <c r="E19" s="19"/>
      <c r="F19" s="19"/>
      <c r="G19" s="18">
        <f>SUM($G$15:$G$18)</f>
        <v>1552118959.2</v>
      </c>
      <c r="H19" s="18">
        <f>SUM($H$15:$H$18)</f>
        <v>210294700.83580029</v>
      </c>
      <c r="I19" s="19"/>
      <c r="J19" s="18">
        <f>SUM($J$15:$J$18)</f>
        <v>172646291.45609209</v>
      </c>
      <c r="K19" s="18">
        <f>SUM($K$15:$K$18)</f>
        <v>153544520.67025876</v>
      </c>
      <c r="L19" s="18">
        <f>SUM($L$15:$L$18)</f>
        <v>0</v>
      </c>
    </row>
    <row r="21" spans="2:12">
      <c r="B21" s="24" t="s">
        <v>14</v>
      </c>
      <c r="C21" s="24"/>
      <c r="D21" s="24"/>
      <c r="E21" s="24"/>
      <c r="F21" s="24"/>
      <c r="G21" s="24"/>
      <c r="H21" s="24"/>
      <c r="I21" s="24"/>
      <c r="J21" s="24"/>
      <c r="K21" s="24"/>
      <c r="L21" s="24"/>
    </row>
    <row r="22" spans="2:12">
      <c r="B22" s="12" t="s">
        <v>0</v>
      </c>
      <c r="C22" s="12" t="s">
        <v>51</v>
      </c>
      <c r="D22" s="12" t="s">
        <v>50</v>
      </c>
      <c r="E22" s="12" t="s">
        <v>107</v>
      </c>
      <c r="F22" s="12" t="s">
        <v>108</v>
      </c>
      <c r="G22" s="12" t="s">
        <v>109</v>
      </c>
      <c r="H22" s="12" t="s">
        <v>52</v>
      </c>
      <c r="I22" s="12" t="s">
        <v>53</v>
      </c>
      <c r="J22" s="12" t="s">
        <v>213</v>
      </c>
      <c r="K22" s="12" t="s">
        <v>134</v>
      </c>
      <c r="L22" s="12" t="s">
        <v>135</v>
      </c>
    </row>
    <row r="23" spans="2:12">
      <c r="B23" s="13" t="s">
        <v>12</v>
      </c>
      <c r="C23" s="14">
        <v>1056600</v>
      </c>
      <c r="D23" s="15">
        <v>113952015.86830346</v>
      </c>
      <c r="E23" s="15">
        <v>107.84782876046135</v>
      </c>
      <c r="F23" s="15">
        <v>69.16</v>
      </c>
      <c r="G23" s="15">
        <v>73074456</v>
      </c>
      <c r="H23" s="15">
        <v>-40877559.868303463</v>
      </c>
      <c r="I23" s="15">
        <v>0.64127392080938306</v>
      </c>
      <c r="J23" s="15">
        <v>40877559.868303463</v>
      </c>
      <c r="K23" s="15">
        <v>2221306.196636796</v>
      </c>
      <c r="L23" s="15">
        <v>0</v>
      </c>
    </row>
    <row r="24" spans="2:12">
      <c r="B24" t="s">
        <v>15</v>
      </c>
      <c r="C24" s="6">
        <v>10662</v>
      </c>
      <c r="D24" s="4">
        <v>18354240.162570611</v>
      </c>
      <c r="E24" s="4">
        <v>1721.4631553714696</v>
      </c>
      <c r="F24" s="4">
        <v>1530</v>
      </c>
      <c r="G24" s="4">
        <v>16312860</v>
      </c>
      <c r="H24" s="4">
        <v>-2041380.1625706106</v>
      </c>
      <c r="I24" s="4">
        <v>0.88877882470266723</v>
      </c>
      <c r="J24" s="4">
        <v>2041380.1625706106</v>
      </c>
      <c r="K24" s="4">
        <v>1822012.4925706114</v>
      </c>
      <c r="L24" s="4">
        <v>0</v>
      </c>
    </row>
    <row r="25" spans="2:12">
      <c r="B25" s="13" t="s">
        <v>132</v>
      </c>
      <c r="C25" s="14">
        <v>11627</v>
      </c>
      <c r="D25" s="15">
        <v>8064430.1998338392</v>
      </c>
      <c r="E25" s="15">
        <v>693.59509760332321</v>
      </c>
      <c r="F25" s="15">
        <v>695</v>
      </c>
      <c r="G25" s="15">
        <v>8080765</v>
      </c>
      <c r="H25" s="15">
        <v>16334.8001661608</v>
      </c>
      <c r="I25" s="15">
        <v>1.0020255368031454</v>
      </c>
      <c r="J25" s="15">
        <v>0</v>
      </c>
      <c r="K25" s="15">
        <v>0</v>
      </c>
      <c r="L25" s="15">
        <v>151397.69166666642</v>
      </c>
    </row>
    <row r="26" spans="2:12">
      <c r="B26" t="s">
        <v>4</v>
      </c>
      <c r="C26" s="6">
        <v>233009</v>
      </c>
      <c r="D26" s="4">
        <v>15555389.755289039</v>
      </c>
      <c r="E26" s="4">
        <v>66.758750757649011</v>
      </c>
      <c r="F26" s="4">
        <v>57</v>
      </c>
      <c r="G26" s="4">
        <v>13281513</v>
      </c>
      <c r="H26" s="4">
        <v>-2273876.7552890386</v>
      </c>
      <c r="I26" s="4">
        <v>0.85382065052301948</v>
      </c>
      <c r="J26" s="4">
        <v>2273876.7552890386</v>
      </c>
      <c r="K26" s="4">
        <v>2273876.7552890386</v>
      </c>
      <c r="L26" s="4">
        <v>0</v>
      </c>
    </row>
    <row r="27" spans="2:12">
      <c r="B27" s="16" t="s">
        <v>219</v>
      </c>
      <c r="C27" s="17">
        <f>SUM($C$23:$C$26)</f>
        <v>1311898</v>
      </c>
      <c r="D27" s="18">
        <f>SUM($D$23:$D$26)</f>
        <v>155926075.98599696</v>
      </c>
      <c r="E27" s="19"/>
      <c r="F27" s="19"/>
      <c r="G27" s="18">
        <f>SUM($G$23:$G$26)</f>
        <v>110749594</v>
      </c>
      <c r="H27" s="18">
        <f>SUM($H$23:$H$26)</f>
        <v>-45176481.985996954</v>
      </c>
      <c r="I27" s="19"/>
      <c r="J27" s="18">
        <f>SUM($J$23:$J$26)</f>
        <v>45192816.786163114</v>
      </c>
      <c r="K27" s="18">
        <f>SUM($K$23:$K$26)</f>
        <v>6317195.4444964463</v>
      </c>
      <c r="L27" s="18">
        <f>SUM($L$23:$L$26)</f>
        <v>151397.69166666642</v>
      </c>
    </row>
  </sheetData>
  <mergeCells count="3">
    <mergeCell ref="B5:L5"/>
    <mergeCell ref="B13:L13"/>
    <mergeCell ref="B21:L21"/>
  </mergeCells>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Feuil2"/>
  <dimension ref="B2:H16"/>
  <sheetViews>
    <sheetView showGridLines="0" showRowColHeaders="0" topLeftCell="C1" workbookViewId="0">
      <selection activeCell="I4" sqref="I4:J15"/>
    </sheetView>
  </sheetViews>
  <sheetFormatPr baseColWidth="10" defaultRowHeight="15"/>
  <cols>
    <col min="2" max="2" width="34.28515625" customWidth="1"/>
    <col min="3" max="3" width="21.5703125" bestFit="1" customWidth="1"/>
    <col min="4" max="4" width="11.7109375" bestFit="1" customWidth="1"/>
    <col min="5" max="5" width="19.28515625" bestFit="1" customWidth="1"/>
    <col min="6" max="6" width="18.85546875" bestFit="1" customWidth="1"/>
    <col min="7" max="7" width="18" bestFit="1" customWidth="1"/>
    <col min="8" max="8" width="16.140625" bestFit="1" customWidth="1"/>
  </cols>
  <sheetData>
    <row r="2" spans="2:8">
      <c r="B2" s="24" t="s">
        <v>142</v>
      </c>
      <c r="C2" s="24"/>
      <c r="D2" s="24"/>
      <c r="E2" s="24"/>
      <c r="F2" s="24"/>
      <c r="G2" s="24"/>
      <c r="H2" s="24"/>
    </row>
    <row r="3" spans="2:8">
      <c r="B3" s="12" t="s">
        <v>0</v>
      </c>
      <c r="C3" s="12" t="s">
        <v>1</v>
      </c>
      <c r="D3" s="12" t="s">
        <v>2</v>
      </c>
      <c r="E3" s="12" t="s">
        <v>49</v>
      </c>
      <c r="F3" s="12" t="s">
        <v>50</v>
      </c>
      <c r="G3" s="12" t="s">
        <v>107</v>
      </c>
      <c r="H3" s="12" t="s">
        <v>145</v>
      </c>
    </row>
    <row r="4" spans="2:8">
      <c r="B4" s="13" t="s">
        <v>4</v>
      </c>
      <c r="C4" s="13" t="s">
        <v>5</v>
      </c>
      <c r="D4" s="13" t="s">
        <v>3</v>
      </c>
      <c r="E4" s="22">
        <v>10000000</v>
      </c>
      <c r="F4" s="22">
        <v>700389865.33628166</v>
      </c>
      <c r="G4" s="15">
        <v>70.038986533628162</v>
      </c>
      <c r="H4" s="15">
        <v>39131.545833329357</v>
      </c>
    </row>
    <row r="5" spans="2:8">
      <c r="B5" t="s">
        <v>127</v>
      </c>
      <c r="C5" t="s">
        <v>7</v>
      </c>
      <c r="D5" t="s">
        <v>3</v>
      </c>
      <c r="E5" s="5">
        <v>1350229</v>
      </c>
      <c r="F5" s="5">
        <v>186356996.02310759</v>
      </c>
      <c r="G5" s="4">
        <v>138.01880719722919</v>
      </c>
      <c r="H5" s="4"/>
    </row>
    <row r="6" spans="2:8">
      <c r="B6" s="13" t="s">
        <v>8</v>
      </c>
      <c r="C6" s="13" t="s">
        <v>9</v>
      </c>
      <c r="D6" s="13" t="s">
        <v>3</v>
      </c>
      <c r="E6" s="22">
        <v>111000</v>
      </c>
      <c r="F6" s="22">
        <v>237616426.11981043</v>
      </c>
      <c r="G6" s="15">
        <v>2140.6885236018957</v>
      </c>
      <c r="H6" s="15">
        <v>19062639.24000001</v>
      </c>
    </row>
    <row r="7" spans="2:8">
      <c r="B7" t="s">
        <v>10</v>
      </c>
      <c r="C7" t="s">
        <v>11</v>
      </c>
      <c r="D7" t="s">
        <v>3</v>
      </c>
      <c r="E7" s="5">
        <v>220000</v>
      </c>
      <c r="F7" s="5">
        <v>217460970.88500002</v>
      </c>
      <c r="G7" s="4">
        <v>988.45895856818186</v>
      </c>
      <c r="H7" s="4"/>
    </row>
    <row r="8" spans="2:8">
      <c r="B8" s="13" t="s">
        <v>12</v>
      </c>
      <c r="C8" s="13" t="s">
        <v>13</v>
      </c>
      <c r="D8" s="15" t="s">
        <v>14</v>
      </c>
      <c r="E8" s="22">
        <v>1056600</v>
      </c>
      <c r="F8" s="22">
        <v>113952015.86830346</v>
      </c>
      <c r="G8" s="15">
        <v>107.84782876046135</v>
      </c>
      <c r="H8" s="15">
        <v>38656253.671666667</v>
      </c>
    </row>
    <row r="9" spans="2:8">
      <c r="B9" t="s">
        <v>15</v>
      </c>
      <c r="C9" t="s">
        <v>16</v>
      </c>
      <c r="D9" s="4" t="s">
        <v>14</v>
      </c>
      <c r="E9" s="5">
        <v>10662</v>
      </c>
      <c r="F9" s="5">
        <v>18354240.162570611</v>
      </c>
      <c r="G9" s="4">
        <v>1721.4631553714696</v>
      </c>
      <c r="H9" s="4">
        <v>219367.66999999931</v>
      </c>
    </row>
    <row r="10" spans="2:8">
      <c r="B10" s="13" t="s">
        <v>132</v>
      </c>
      <c r="C10" s="13" t="s">
        <v>18</v>
      </c>
      <c r="D10" s="15" t="s">
        <v>14</v>
      </c>
      <c r="E10" s="22">
        <v>11627</v>
      </c>
      <c r="F10" s="22">
        <v>8064430.1998338392</v>
      </c>
      <c r="G10" s="15">
        <v>693.59509760332321</v>
      </c>
      <c r="H10" s="15">
        <v>151397.69166666642</v>
      </c>
    </row>
    <row r="11" spans="2:8">
      <c r="B11" t="s">
        <v>4</v>
      </c>
      <c r="C11" t="s">
        <v>5</v>
      </c>
      <c r="D11" s="4" t="s">
        <v>14</v>
      </c>
      <c r="E11" s="5">
        <v>233009</v>
      </c>
      <c r="F11" s="5">
        <v>15555389.755289039</v>
      </c>
      <c r="G11" s="4">
        <v>66.758750757649011</v>
      </c>
      <c r="H11" s="4"/>
    </row>
    <row r="12" spans="2:8">
      <c r="B12" s="13" t="s">
        <v>12</v>
      </c>
      <c r="C12" s="13" t="s">
        <v>13</v>
      </c>
      <c r="D12" s="13" t="s">
        <v>47</v>
      </c>
      <c r="E12" s="22">
        <v>110265</v>
      </c>
      <c r="F12" s="22">
        <v>7801229.5658699833</v>
      </c>
      <c r="G12" s="15">
        <v>70.749826017956593</v>
      </c>
      <c r="H12" s="15"/>
    </row>
    <row r="13" spans="2:8">
      <c r="B13" t="s">
        <v>132</v>
      </c>
      <c r="C13" t="s">
        <v>18</v>
      </c>
      <c r="D13" t="s">
        <v>47</v>
      </c>
      <c r="E13" s="5">
        <v>10000</v>
      </c>
      <c r="F13" s="5">
        <v>6699666.666666667</v>
      </c>
      <c r="G13" s="4">
        <v>669.9666666666667</v>
      </c>
      <c r="H13" s="4"/>
    </row>
    <row r="14" spans="2:8">
      <c r="B14" s="13" t="s">
        <v>127</v>
      </c>
      <c r="C14" s="13" t="s">
        <v>7</v>
      </c>
      <c r="D14" s="13" t="s">
        <v>47</v>
      </c>
      <c r="E14" s="22">
        <v>10887</v>
      </c>
      <c r="F14" s="22">
        <v>3916539.0355199175</v>
      </c>
      <c r="G14" s="15">
        <v>359.74456099200125</v>
      </c>
      <c r="H14" s="15"/>
    </row>
    <row r="15" spans="2:8">
      <c r="B15" t="s">
        <v>31</v>
      </c>
      <c r="C15" t="s">
        <v>32</v>
      </c>
      <c r="D15" t="s">
        <v>47</v>
      </c>
      <c r="E15" s="5">
        <v>100000</v>
      </c>
      <c r="F15" s="5">
        <v>4197910.8007658515</v>
      </c>
      <c r="G15" s="4">
        <v>41.979108007658517</v>
      </c>
      <c r="H15" s="4"/>
    </row>
    <row r="16" spans="2:8">
      <c r="E16" s="5"/>
      <c r="F16" s="5"/>
      <c r="G16" s="4"/>
      <c r="H16" s="4"/>
    </row>
  </sheetData>
  <mergeCells count="1">
    <mergeCell ref="B2:H2"/>
  </mergeCells>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sheetPr codeName="Feuil3"/>
  <dimension ref="B2:G83"/>
  <sheetViews>
    <sheetView showGridLines="0" showRowColHeaders="0" workbookViewId="0">
      <selection activeCell="D1" sqref="D1"/>
    </sheetView>
  </sheetViews>
  <sheetFormatPr baseColWidth="10" defaultRowHeight="15"/>
  <cols>
    <col min="2" max="2" width="22.140625" bestFit="1" customWidth="1"/>
  </cols>
  <sheetData>
    <row r="2" spans="2:7">
      <c r="B2" s="24" t="s">
        <v>54</v>
      </c>
      <c r="C2" s="24"/>
      <c r="D2" s="24"/>
      <c r="F2" s="25" t="s">
        <v>55</v>
      </c>
      <c r="G2" s="25"/>
    </row>
    <row r="3" spans="2:7">
      <c r="B3" s="12" t="s">
        <v>0</v>
      </c>
      <c r="C3" s="12" t="s">
        <v>220</v>
      </c>
      <c r="D3" s="12" t="s">
        <v>214</v>
      </c>
      <c r="F3" s="26">
        <v>41129</v>
      </c>
      <c r="G3" s="27"/>
    </row>
    <row r="4" spans="2:7">
      <c r="B4" s="13" t="s">
        <v>69</v>
      </c>
      <c r="C4" s="15">
        <v>1551</v>
      </c>
      <c r="D4" s="15">
        <v>1551</v>
      </c>
    </row>
    <row r="5" spans="2:7">
      <c r="B5" s="20" t="s">
        <v>110</v>
      </c>
      <c r="C5" s="21">
        <v>107</v>
      </c>
      <c r="D5" s="21">
        <v>107</v>
      </c>
    </row>
    <row r="6" spans="2:7">
      <c r="B6" s="13" t="s">
        <v>66</v>
      </c>
      <c r="C6" s="15">
        <v>19</v>
      </c>
      <c r="D6" s="15">
        <v>19</v>
      </c>
    </row>
    <row r="7" spans="2:7">
      <c r="B7" s="20" t="s">
        <v>105</v>
      </c>
      <c r="C7" s="21">
        <v>155</v>
      </c>
      <c r="D7" s="21">
        <v>155</v>
      </c>
    </row>
    <row r="8" spans="2:7">
      <c r="B8" s="13" t="s">
        <v>125</v>
      </c>
      <c r="C8" s="15">
        <v>18.2</v>
      </c>
      <c r="D8" s="15">
        <v>18.2</v>
      </c>
    </row>
    <row r="9" spans="2:7">
      <c r="B9" s="20" t="s">
        <v>67</v>
      </c>
      <c r="C9" s="21">
        <v>1400</v>
      </c>
      <c r="D9" s="21">
        <v>1400</v>
      </c>
    </row>
    <row r="10" spans="2:7">
      <c r="B10" s="13" t="s">
        <v>71</v>
      </c>
      <c r="C10" s="15">
        <v>495</v>
      </c>
      <c r="D10" s="15">
        <v>495</v>
      </c>
    </row>
    <row r="11" spans="2:7">
      <c r="B11" s="20" t="s">
        <v>59</v>
      </c>
      <c r="C11" s="21">
        <v>57</v>
      </c>
      <c r="D11" s="21">
        <v>58</v>
      </c>
    </row>
    <row r="12" spans="2:7">
      <c r="B12" s="13" t="s">
        <v>111</v>
      </c>
      <c r="C12" s="15">
        <v>1145</v>
      </c>
      <c r="D12" s="15">
        <v>1145</v>
      </c>
    </row>
    <row r="13" spans="2:7">
      <c r="B13" s="20" t="s">
        <v>106</v>
      </c>
      <c r="C13" s="21">
        <v>3099</v>
      </c>
      <c r="D13" s="21">
        <v>3099</v>
      </c>
    </row>
    <row r="14" spans="2:7">
      <c r="B14" s="13" t="s">
        <v>128</v>
      </c>
      <c r="C14" s="15">
        <v>2630</v>
      </c>
      <c r="D14" s="15">
        <v>2630</v>
      </c>
    </row>
    <row r="15" spans="2:7">
      <c r="B15" s="20" t="s">
        <v>60</v>
      </c>
      <c r="C15" s="21">
        <v>344.8</v>
      </c>
      <c r="D15" s="21">
        <v>340.15</v>
      </c>
    </row>
    <row r="16" spans="2:7">
      <c r="B16" s="13" t="s">
        <v>64</v>
      </c>
      <c r="C16" s="15">
        <v>172.6</v>
      </c>
      <c r="D16" s="15">
        <v>172.6</v>
      </c>
    </row>
    <row r="17" spans="2:4">
      <c r="B17" s="20" t="s">
        <v>22</v>
      </c>
      <c r="C17" s="21">
        <v>830</v>
      </c>
      <c r="D17" s="21">
        <v>830</v>
      </c>
    </row>
    <row r="18" spans="2:4">
      <c r="B18" s="13" t="s">
        <v>19</v>
      </c>
      <c r="C18" s="15">
        <v>198.05</v>
      </c>
      <c r="D18" s="15">
        <v>199.1</v>
      </c>
    </row>
    <row r="19" spans="2:4">
      <c r="B19" s="20" t="s">
        <v>24</v>
      </c>
      <c r="C19" s="21">
        <v>630</v>
      </c>
      <c r="D19" s="21">
        <v>630</v>
      </c>
    </row>
    <row r="20" spans="2:4">
      <c r="B20" s="13" t="s">
        <v>26</v>
      </c>
      <c r="C20" s="15">
        <v>285</v>
      </c>
      <c r="D20" s="15">
        <v>275</v>
      </c>
    </row>
    <row r="21" spans="2:4">
      <c r="B21" s="20" t="s">
        <v>112</v>
      </c>
      <c r="C21" s="21">
        <v>833</v>
      </c>
      <c r="D21" s="21">
        <v>833</v>
      </c>
    </row>
    <row r="22" spans="2:4">
      <c r="B22" s="13" t="s">
        <v>131</v>
      </c>
      <c r="C22" s="15">
        <v>1760</v>
      </c>
      <c r="D22" s="15">
        <v>1750</v>
      </c>
    </row>
    <row r="23" spans="2:4">
      <c r="B23" s="20" t="s">
        <v>113</v>
      </c>
      <c r="C23" s="21">
        <v>196.4</v>
      </c>
      <c r="D23" s="21">
        <v>196.4</v>
      </c>
    </row>
    <row r="24" spans="2:4">
      <c r="B24" s="13" t="s">
        <v>82</v>
      </c>
      <c r="C24" s="15">
        <v>1460</v>
      </c>
      <c r="D24" s="15">
        <v>1460</v>
      </c>
    </row>
    <row r="25" spans="2:4">
      <c r="B25" s="20" t="s">
        <v>100</v>
      </c>
      <c r="C25" s="21">
        <v>1448</v>
      </c>
      <c r="D25" s="21">
        <v>1448</v>
      </c>
    </row>
    <row r="26" spans="2:4">
      <c r="B26" s="13" t="s">
        <v>58</v>
      </c>
      <c r="C26" s="15">
        <v>1379</v>
      </c>
      <c r="D26" s="15">
        <v>1379</v>
      </c>
    </row>
    <row r="27" spans="2:4">
      <c r="B27" s="20" t="s">
        <v>114</v>
      </c>
      <c r="C27" s="21">
        <v>283</v>
      </c>
      <c r="D27" s="21">
        <v>284</v>
      </c>
    </row>
    <row r="28" spans="2:4">
      <c r="B28" s="13" t="s">
        <v>89</v>
      </c>
      <c r="C28" s="15">
        <v>37.979999999999997</v>
      </c>
      <c r="D28" s="15">
        <v>40.4</v>
      </c>
    </row>
    <row r="29" spans="2:4">
      <c r="B29" s="20" t="s">
        <v>92</v>
      </c>
      <c r="C29" s="21">
        <v>463.9</v>
      </c>
      <c r="D29" s="21">
        <v>463.9</v>
      </c>
    </row>
    <row r="30" spans="2:4">
      <c r="B30" s="13" t="s">
        <v>115</v>
      </c>
      <c r="C30" s="15">
        <v>1771</v>
      </c>
      <c r="D30" s="15">
        <v>1771</v>
      </c>
    </row>
    <row r="31" spans="2:4">
      <c r="B31" s="20" t="s">
        <v>65</v>
      </c>
      <c r="C31" s="21">
        <v>1399</v>
      </c>
      <c r="D31" s="21">
        <v>1399</v>
      </c>
    </row>
    <row r="32" spans="2:4">
      <c r="B32" s="13" t="s">
        <v>68</v>
      </c>
      <c r="C32" s="15">
        <v>58</v>
      </c>
      <c r="D32" s="15">
        <v>61</v>
      </c>
    </row>
    <row r="33" spans="2:4">
      <c r="B33" s="20" t="s">
        <v>98</v>
      </c>
      <c r="C33" s="21">
        <v>266</v>
      </c>
      <c r="D33" s="21">
        <v>266</v>
      </c>
    </row>
    <row r="34" spans="2:4">
      <c r="B34" s="13" t="s">
        <v>84</v>
      </c>
      <c r="C34" s="15">
        <v>220.7</v>
      </c>
      <c r="D34" s="15">
        <v>220.7</v>
      </c>
    </row>
    <row r="35" spans="2:4">
      <c r="B35" s="20" t="s">
        <v>97</v>
      </c>
      <c r="C35" s="21">
        <v>295</v>
      </c>
      <c r="D35" s="21">
        <v>295</v>
      </c>
    </row>
    <row r="36" spans="2:4">
      <c r="B36" s="13" t="s">
        <v>61</v>
      </c>
      <c r="C36" s="15">
        <v>56.5</v>
      </c>
      <c r="D36" s="15">
        <v>56.5</v>
      </c>
    </row>
    <row r="37" spans="2:4">
      <c r="B37" s="20" t="s">
        <v>76</v>
      </c>
      <c r="C37" s="21">
        <v>270</v>
      </c>
      <c r="D37" s="21">
        <v>270</v>
      </c>
    </row>
    <row r="38" spans="2:4">
      <c r="B38" s="13" t="s">
        <v>81</v>
      </c>
      <c r="C38" s="15">
        <v>1485</v>
      </c>
      <c r="D38" s="15">
        <v>1485</v>
      </c>
    </row>
    <row r="39" spans="2:4">
      <c r="B39" s="20" t="s">
        <v>116</v>
      </c>
      <c r="C39" s="21">
        <v>60.5</v>
      </c>
      <c r="D39" s="21">
        <v>58.2</v>
      </c>
    </row>
    <row r="40" spans="2:4">
      <c r="B40" s="13" t="s">
        <v>62</v>
      </c>
      <c r="C40" s="15">
        <v>1500</v>
      </c>
      <c r="D40" s="15">
        <v>1500</v>
      </c>
    </row>
    <row r="41" spans="2:4">
      <c r="B41" s="20" t="s">
        <v>117</v>
      </c>
      <c r="C41" s="21">
        <v>34.6</v>
      </c>
      <c r="D41" s="21">
        <v>34.6</v>
      </c>
    </row>
    <row r="42" spans="2:4">
      <c r="B42" s="13" t="s">
        <v>77</v>
      </c>
      <c r="C42" s="15">
        <v>200</v>
      </c>
      <c r="D42" s="15">
        <v>200</v>
      </c>
    </row>
    <row r="43" spans="2:4">
      <c r="B43" s="20" t="s">
        <v>118</v>
      </c>
      <c r="C43" s="21">
        <v>440</v>
      </c>
      <c r="D43" s="21">
        <v>440</v>
      </c>
    </row>
    <row r="44" spans="2:4">
      <c r="B44" s="13" t="s">
        <v>91</v>
      </c>
      <c r="C44" s="15">
        <v>242</v>
      </c>
      <c r="D44" s="15">
        <v>242</v>
      </c>
    </row>
    <row r="45" spans="2:4">
      <c r="B45" s="20" t="s">
        <v>74</v>
      </c>
      <c r="C45" s="21">
        <v>69.16</v>
      </c>
      <c r="D45" s="21">
        <v>69.34</v>
      </c>
    </row>
    <row r="46" spans="2:4">
      <c r="B46" s="13" t="s">
        <v>57</v>
      </c>
      <c r="C46" s="15">
        <v>695</v>
      </c>
      <c r="D46" s="15">
        <v>695</v>
      </c>
    </row>
    <row r="47" spans="2:4">
      <c r="B47" s="20" t="s">
        <v>25</v>
      </c>
      <c r="C47" s="21">
        <v>810</v>
      </c>
      <c r="D47" s="21">
        <v>799</v>
      </c>
    </row>
    <row r="48" spans="2:4">
      <c r="B48" s="13" t="s">
        <v>63</v>
      </c>
      <c r="C48" s="15">
        <v>176.4</v>
      </c>
      <c r="D48" s="15">
        <v>176.4</v>
      </c>
    </row>
    <row r="49" spans="2:4">
      <c r="B49" s="20" t="s">
        <v>101</v>
      </c>
      <c r="C49" s="21">
        <v>1120</v>
      </c>
      <c r="D49" s="21">
        <v>1120</v>
      </c>
    </row>
    <row r="50" spans="2:4">
      <c r="B50" s="13" t="s">
        <v>119</v>
      </c>
      <c r="C50" s="15">
        <v>737</v>
      </c>
      <c r="D50" s="15">
        <v>737</v>
      </c>
    </row>
    <row r="51" spans="2:4">
      <c r="B51" s="20" t="s">
        <v>120</v>
      </c>
      <c r="C51" s="21">
        <v>454.35</v>
      </c>
      <c r="D51" s="21">
        <v>454.35</v>
      </c>
    </row>
    <row r="52" spans="2:4">
      <c r="B52" s="13" t="s">
        <v>102</v>
      </c>
      <c r="C52" s="15">
        <v>167</v>
      </c>
      <c r="D52" s="15">
        <v>167</v>
      </c>
    </row>
    <row r="53" spans="2:4">
      <c r="B53" s="20" t="s">
        <v>94</v>
      </c>
      <c r="C53" s="21">
        <v>154</v>
      </c>
      <c r="D53" s="21">
        <v>154</v>
      </c>
    </row>
    <row r="54" spans="2:4">
      <c r="B54" s="13" t="s">
        <v>73</v>
      </c>
      <c r="C54" s="15">
        <v>219</v>
      </c>
      <c r="D54" s="15">
        <v>219</v>
      </c>
    </row>
    <row r="55" spans="2:4">
      <c r="B55" s="20" t="s">
        <v>78</v>
      </c>
      <c r="C55" s="21">
        <v>330</v>
      </c>
      <c r="D55" s="21">
        <v>330</v>
      </c>
    </row>
    <row r="56" spans="2:4">
      <c r="B56" s="13" t="s">
        <v>79</v>
      </c>
      <c r="C56" s="15">
        <v>268</v>
      </c>
      <c r="D56" s="15">
        <v>268</v>
      </c>
    </row>
    <row r="57" spans="2:4">
      <c r="B57" s="20" t="s">
        <v>126</v>
      </c>
      <c r="C57" s="21">
        <v>220.1</v>
      </c>
      <c r="D57" s="21">
        <v>220.1</v>
      </c>
    </row>
    <row r="58" spans="2:4">
      <c r="B58" s="13" t="s">
        <v>90</v>
      </c>
      <c r="C58" s="15">
        <v>145</v>
      </c>
      <c r="D58" s="15">
        <v>145</v>
      </c>
    </row>
    <row r="59" spans="2:4">
      <c r="B59" s="20" t="s">
        <v>121</v>
      </c>
      <c r="C59" s="21">
        <v>225</v>
      </c>
      <c r="D59" s="21">
        <v>229.85</v>
      </c>
    </row>
    <row r="60" spans="2:4">
      <c r="B60" s="13" t="s">
        <v>80</v>
      </c>
      <c r="C60" s="15">
        <v>149.9</v>
      </c>
      <c r="D60" s="15">
        <v>149.9</v>
      </c>
    </row>
    <row r="61" spans="2:4">
      <c r="B61" s="20" t="s">
        <v>122</v>
      </c>
      <c r="C61" s="21">
        <v>1688</v>
      </c>
      <c r="D61" s="21">
        <v>1700</v>
      </c>
    </row>
    <row r="62" spans="2:4">
      <c r="B62" s="13" t="s">
        <v>86</v>
      </c>
      <c r="C62" s="15">
        <v>1500</v>
      </c>
      <c r="D62" s="15">
        <v>1500</v>
      </c>
    </row>
    <row r="63" spans="2:4">
      <c r="B63" s="20" t="s">
        <v>42</v>
      </c>
      <c r="C63" s="21">
        <v>3105</v>
      </c>
      <c r="D63" s="21">
        <v>3105</v>
      </c>
    </row>
    <row r="64" spans="2:4">
      <c r="B64" s="13" t="s">
        <v>93</v>
      </c>
      <c r="C64" s="15">
        <v>285</v>
      </c>
      <c r="D64" s="15">
        <v>285</v>
      </c>
    </row>
    <row r="65" spans="2:4">
      <c r="B65" s="20" t="s">
        <v>56</v>
      </c>
      <c r="C65" s="21">
        <v>1530</v>
      </c>
      <c r="D65" s="21">
        <v>1530</v>
      </c>
    </row>
    <row r="66" spans="2:4">
      <c r="B66" s="13" t="s">
        <v>96</v>
      </c>
      <c r="C66" s="15">
        <v>499</v>
      </c>
      <c r="D66" s="15">
        <v>498</v>
      </c>
    </row>
    <row r="67" spans="2:4">
      <c r="B67" s="20" t="s">
        <v>83</v>
      </c>
      <c r="C67" s="21">
        <v>278</v>
      </c>
      <c r="D67" s="21">
        <v>278</v>
      </c>
    </row>
    <row r="68" spans="2:4">
      <c r="B68" s="13" t="s">
        <v>75</v>
      </c>
      <c r="C68" s="15">
        <v>1822</v>
      </c>
      <c r="D68" s="15">
        <v>1822</v>
      </c>
    </row>
    <row r="69" spans="2:4">
      <c r="B69" s="20" t="s">
        <v>95</v>
      </c>
      <c r="C69" s="21">
        <v>550</v>
      </c>
      <c r="D69" s="21">
        <v>550</v>
      </c>
    </row>
    <row r="70" spans="2:4">
      <c r="B70" s="13" t="s">
        <v>103</v>
      </c>
      <c r="C70" s="15">
        <v>31.5</v>
      </c>
      <c r="D70" s="15">
        <v>31.5</v>
      </c>
    </row>
    <row r="71" spans="2:4">
      <c r="B71" s="20" t="s">
        <v>85</v>
      </c>
      <c r="C71" s="21">
        <v>834</v>
      </c>
      <c r="D71" s="21">
        <v>834</v>
      </c>
    </row>
    <row r="72" spans="2:4">
      <c r="B72" s="13" t="s">
        <v>87</v>
      </c>
      <c r="C72" s="15">
        <v>405</v>
      </c>
      <c r="D72" s="15">
        <v>405</v>
      </c>
    </row>
    <row r="73" spans="2:4">
      <c r="B73" s="20" t="s">
        <v>129</v>
      </c>
      <c r="C73" s="21">
        <v>360</v>
      </c>
      <c r="D73" s="21">
        <v>360</v>
      </c>
    </row>
    <row r="74" spans="2:4">
      <c r="B74" s="13" t="s">
        <v>72</v>
      </c>
      <c r="C74" s="15">
        <v>59.86</v>
      </c>
      <c r="D74" s="15">
        <v>59.86</v>
      </c>
    </row>
    <row r="75" spans="2:4">
      <c r="B75" s="20" t="s">
        <v>99</v>
      </c>
      <c r="C75" s="21">
        <v>275.10000000000002</v>
      </c>
      <c r="D75" s="21">
        <v>275.10000000000002</v>
      </c>
    </row>
    <row r="76" spans="2:4">
      <c r="B76" s="13" t="s">
        <v>123</v>
      </c>
      <c r="C76" s="15">
        <v>35.82</v>
      </c>
      <c r="D76" s="15">
        <v>38.1</v>
      </c>
    </row>
    <row r="77" spans="2:4">
      <c r="B77" s="20" t="s">
        <v>124</v>
      </c>
      <c r="C77" s="21">
        <v>701</v>
      </c>
      <c r="D77" s="21">
        <v>701</v>
      </c>
    </row>
    <row r="78" spans="2:4">
      <c r="B78" s="13" t="s">
        <v>88</v>
      </c>
      <c r="C78" s="15">
        <v>28</v>
      </c>
      <c r="D78" s="15">
        <v>28</v>
      </c>
    </row>
    <row r="79" spans="2:4">
      <c r="B79" s="20" t="s">
        <v>130</v>
      </c>
      <c r="C79" s="21">
        <v>106.05</v>
      </c>
      <c r="D79" s="21">
        <v>106.15</v>
      </c>
    </row>
    <row r="80" spans="2:4">
      <c r="B80" s="13" t="s">
        <v>70</v>
      </c>
      <c r="C80" s="15">
        <v>243.5</v>
      </c>
      <c r="D80" s="15">
        <v>243.5</v>
      </c>
    </row>
    <row r="81" spans="2:4">
      <c r="B81" s="20" t="s">
        <v>104</v>
      </c>
      <c r="C81" s="21">
        <v>485</v>
      </c>
      <c r="D81" s="21">
        <v>485</v>
      </c>
    </row>
    <row r="82" spans="2:4">
      <c r="C82" s="4"/>
    </row>
    <row r="83" spans="2:4">
      <c r="C83" s="4"/>
    </row>
  </sheetData>
  <mergeCells count="3">
    <mergeCell ref="F2:G2"/>
    <mergeCell ref="F3:G3"/>
    <mergeCell ref="B2:D2"/>
  </mergeCells>
  <pageMargins left="0.7" right="0.7" top="0.75" bottom="0.75" header="0.3" footer="0.3"/>
  <pageSetup paperSize="0" orientation="portrait" horizontalDpi="0" verticalDpi="0" copies="0"/>
  <legacyDrawing r:id="rId1"/>
  <controls>
    <control shapeId="9217" r:id="rId2" name="OptionButtonCoursActuel"/>
    <control shapeId="9218" r:id="rId3" name="OptionButtonCoursCloture"/>
  </controls>
</worksheet>
</file>

<file path=xl/worksheets/sheet6.xml><?xml version="1.0" encoding="utf-8"?>
<worksheet xmlns="http://schemas.openxmlformats.org/spreadsheetml/2006/main" xmlns:r="http://schemas.openxmlformats.org/officeDocument/2006/relationships">
  <sheetPr codeName="Feuil5"/>
  <dimension ref="B2:H36"/>
  <sheetViews>
    <sheetView topLeftCell="A16" workbookViewId="0">
      <selection activeCell="B38" sqref="B38"/>
    </sheetView>
  </sheetViews>
  <sheetFormatPr baseColWidth="10" defaultRowHeight="15"/>
  <cols>
    <col min="2" max="2" width="34.28515625" customWidth="1"/>
    <col min="3" max="3" width="15.140625" bestFit="1" customWidth="1"/>
    <col min="5" max="5" width="19.28515625" bestFit="1" customWidth="1"/>
    <col min="6" max="6" width="18.85546875" bestFit="1" customWidth="1"/>
    <col min="7" max="7" width="18" bestFit="1" customWidth="1"/>
    <col min="8" max="8" width="14.85546875" bestFit="1" customWidth="1"/>
  </cols>
  <sheetData>
    <row r="2" spans="2:8">
      <c r="B2" s="1" t="s">
        <v>48</v>
      </c>
    </row>
    <row r="4" spans="2:8">
      <c r="B4" s="2" t="s">
        <v>0</v>
      </c>
      <c r="C4" s="2" t="s">
        <v>1</v>
      </c>
      <c r="D4" s="2" t="s">
        <v>2</v>
      </c>
      <c r="E4" s="2" t="s">
        <v>49</v>
      </c>
      <c r="F4" s="2" t="s">
        <v>50</v>
      </c>
      <c r="G4" s="2" t="s">
        <v>107</v>
      </c>
      <c r="H4" s="2"/>
    </row>
    <row r="5" spans="2:8">
      <c r="B5" t="s">
        <v>4</v>
      </c>
      <c r="C5" t="s">
        <v>5</v>
      </c>
      <c r="D5" t="s">
        <v>3</v>
      </c>
      <c r="E5" s="5">
        <v>24089265</v>
      </c>
      <c r="F5" s="5">
        <v>1687187706.9400001</v>
      </c>
      <c r="G5" s="4">
        <f>F5/E5</f>
        <v>70.038986533628162</v>
      </c>
      <c r="H5" s="4"/>
    </row>
    <row r="6" spans="2:8">
      <c r="B6" t="s">
        <v>127</v>
      </c>
      <c r="C6" t="s">
        <v>7</v>
      </c>
      <c r="D6" t="s">
        <v>3</v>
      </c>
      <c r="E6" s="5">
        <v>3350229</v>
      </c>
      <c r="F6" s="5">
        <v>462394610.417566</v>
      </c>
      <c r="G6" s="4">
        <f t="shared" ref="G6:G36" si="0">F6/E6</f>
        <v>138.01880719722919</v>
      </c>
      <c r="H6" s="4"/>
    </row>
    <row r="7" spans="2:8">
      <c r="B7" t="s">
        <v>8</v>
      </c>
      <c r="C7" t="s">
        <v>9</v>
      </c>
      <c r="D7" t="s">
        <v>3</v>
      </c>
      <c r="E7" s="5">
        <v>211000</v>
      </c>
      <c r="F7" s="5">
        <v>451685278.48000002</v>
      </c>
      <c r="G7" s="4">
        <f t="shared" si="0"/>
        <v>2140.6885236018957</v>
      </c>
      <c r="H7" s="4"/>
    </row>
    <row r="8" spans="2:8">
      <c r="B8" t="s">
        <v>10</v>
      </c>
      <c r="C8" t="s">
        <v>11</v>
      </c>
      <c r="D8" t="s">
        <v>3</v>
      </c>
      <c r="E8" s="5">
        <v>880000</v>
      </c>
      <c r="F8" s="5">
        <v>869843883.54000008</v>
      </c>
      <c r="G8" s="4">
        <f t="shared" si="0"/>
        <v>988.45895856818186</v>
      </c>
      <c r="H8" s="4"/>
    </row>
    <row r="9" spans="2:8">
      <c r="B9" t="s">
        <v>12</v>
      </c>
      <c r="C9" s="4" t="s">
        <v>13</v>
      </c>
      <c r="D9" s="4" t="s">
        <v>14</v>
      </c>
      <c r="E9" s="5">
        <v>6056697</v>
      </c>
      <c r="F9" s="5">
        <v>653201620.90999997</v>
      </c>
      <c r="G9" s="4">
        <f t="shared" si="0"/>
        <v>107.84782876046135</v>
      </c>
      <c r="H9" s="4"/>
    </row>
    <row r="10" spans="2:8">
      <c r="B10" t="s">
        <v>15</v>
      </c>
      <c r="C10" s="4" t="s">
        <v>16</v>
      </c>
      <c r="D10" s="4" t="s">
        <v>14</v>
      </c>
      <c r="E10" s="5">
        <v>30662</v>
      </c>
      <c r="F10" s="5">
        <v>52783503.270000003</v>
      </c>
      <c r="G10" s="4">
        <f t="shared" si="0"/>
        <v>1721.4631553714696</v>
      </c>
      <c r="H10" s="4"/>
    </row>
    <row r="11" spans="2:8">
      <c r="B11" t="s">
        <v>17</v>
      </c>
      <c r="C11" s="4" t="s">
        <v>18</v>
      </c>
      <c r="D11" s="4" t="s">
        <v>14</v>
      </c>
      <c r="E11" s="5">
        <v>61627</v>
      </c>
      <c r="F11" s="5">
        <v>42744185.079999998</v>
      </c>
      <c r="G11" s="4">
        <f t="shared" si="0"/>
        <v>693.59509760332321</v>
      </c>
      <c r="H11" s="4"/>
    </row>
    <row r="12" spans="2:8">
      <c r="B12" t="s">
        <v>4</v>
      </c>
      <c r="C12" s="4" t="s">
        <v>5</v>
      </c>
      <c r="D12" s="4" t="s">
        <v>14</v>
      </c>
      <c r="E12" s="5">
        <v>424009</v>
      </c>
      <c r="F12" s="5">
        <v>28306311.149999999</v>
      </c>
      <c r="G12" s="4">
        <f t="shared" si="0"/>
        <v>66.758750757649011</v>
      </c>
      <c r="H12" s="4"/>
    </row>
    <row r="13" spans="2:8">
      <c r="B13" t="s">
        <v>127</v>
      </c>
      <c r="C13" s="4" t="s">
        <v>7</v>
      </c>
      <c r="D13" s="4" t="s">
        <v>14</v>
      </c>
      <c r="E13" s="5">
        <v>200000</v>
      </c>
      <c r="F13" s="5">
        <v>73168529.680000007</v>
      </c>
      <c r="G13" s="4">
        <f t="shared" si="0"/>
        <v>365.84264840000003</v>
      </c>
      <c r="H13" s="4"/>
    </row>
    <row r="14" spans="2:8">
      <c r="B14" t="s">
        <v>19</v>
      </c>
      <c r="C14" s="4" t="s">
        <v>19</v>
      </c>
      <c r="D14" s="4" t="s">
        <v>14</v>
      </c>
      <c r="E14" s="5">
        <v>381848</v>
      </c>
      <c r="F14" s="5">
        <v>82964978.570000008</v>
      </c>
      <c r="G14" s="4">
        <f t="shared" si="0"/>
        <v>217.27226165908951</v>
      </c>
      <c r="H14" s="4"/>
    </row>
    <row r="15" spans="2:8">
      <c r="B15" t="s">
        <v>20</v>
      </c>
      <c r="C15" s="4" t="s">
        <v>21</v>
      </c>
      <c r="D15" s="4" t="s">
        <v>14</v>
      </c>
      <c r="E15" s="5">
        <v>500134</v>
      </c>
      <c r="F15" s="5">
        <v>123884827.20999999</v>
      </c>
      <c r="G15" s="4">
        <f t="shared" si="0"/>
        <v>247.7032699436551</v>
      </c>
      <c r="H15" s="4"/>
    </row>
    <row r="16" spans="2:8">
      <c r="B16" t="s">
        <v>22</v>
      </c>
      <c r="C16" s="4" t="s">
        <v>23</v>
      </c>
      <c r="D16" s="4" t="s">
        <v>14</v>
      </c>
      <c r="E16" s="5">
        <v>26454</v>
      </c>
      <c r="F16" s="5">
        <v>26767444.920000006</v>
      </c>
      <c r="G16" s="4">
        <f t="shared" si="0"/>
        <v>1011.8486777046952</v>
      </c>
      <c r="H16" s="4"/>
    </row>
    <row r="17" spans="2:8">
      <c r="B17" t="s">
        <v>24</v>
      </c>
      <c r="C17" s="4" t="s">
        <v>24</v>
      </c>
      <c r="D17" s="4" t="s">
        <v>14</v>
      </c>
      <c r="E17" s="5">
        <v>9972</v>
      </c>
      <c r="F17" s="5">
        <v>9004416.8399999999</v>
      </c>
      <c r="G17" s="4">
        <f t="shared" si="0"/>
        <v>902.97</v>
      </c>
      <c r="H17" s="4"/>
    </row>
    <row r="18" spans="2:8">
      <c r="B18" t="s">
        <v>25</v>
      </c>
      <c r="C18" s="4" t="s">
        <v>25</v>
      </c>
      <c r="D18" s="4" t="s">
        <v>14</v>
      </c>
      <c r="E18" s="5">
        <v>117342</v>
      </c>
      <c r="F18" s="5">
        <v>190702406.53000009</v>
      </c>
      <c r="G18" s="4">
        <f t="shared" si="0"/>
        <v>1625.1845590666605</v>
      </c>
      <c r="H18" s="4"/>
    </row>
    <row r="19" spans="2:8">
      <c r="B19" t="s">
        <v>26</v>
      </c>
      <c r="C19" s="4" t="s">
        <v>26</v>
      </c>
      <c r="D19" s="4" t="s">
        <v>14</v>
      </c>
      <c r="E19" s="5">
        <v>78244</v>
      </c>
      <c r="F19" s="5">
        <v>22199880.945499998</v>
      </c>
      <c r="G19" s="4">
        <f t="shared" si="0"/>
        <v>283.72630419584885</v>
      </c>
      <c r="H19" s="4"/>
    </row>
    <row r="20" spans="2:8">
      <c r="B20" t="s">
        <v>27</v>
      </c>
      <c r="C20" s="3" t="s">
        <v>28</v>
      </c>
      <c r="D20" s="4" t="s">
        <v>14</v>
      </c>
      <c r="E20" s="5">
        <v>27519</v>
      </c>
      <c r="F20" s="5">
        <v>30511691.6204</v>
      </c>
      <c r="G20" s="4">
        <f t="shared" si="0"/>
        <v>1108.7500134597915</v>
      </c>
      <c r="H20" s="4"/>
    </row>
    <row r="21" spans="2:8">
      <c r="B21" t="s">
        <v>29</v>
      </c>
      <c r="C21" s="4" t="s">
        <v>30</v>
      </c>
      <c r="D21" s="4" t="s">
        <v>14</v>
      </c>
      <c r="E21" s="5">
        <v>14823</v>
      </c>
      <c r="F21" s="5">
        <v>33999616.969999999</v>
      </c>
      <c r="G21" s="4">
        <f t="shared" si="0"/>
        <v>2293.7068724279834</v>
      </c>
      <c r="H21" s="4"/>
    </row>
    <row r="22" spans="2:8">
      <c r="B22" t="s">
        <v>31</v>
      </c>
      <c r="C22" s="4" t="s">
        <v>32</v>
      </c>
      <c r="D22" s="4" t="s">
        <v>14</v>
      </c>
      <c r="E22" s="5">
        <v>610126</v>
      </c>
      <c r="F22" s="5">
        <v>27575608.43</v>
      </c>
      <c r="G22" s="4">
        <f t="shared" si="0"/>
        <v>45.196579772047087</v>
      </c>
      <c r="H22" s="4"/>
    </row>
    <row r="23" spans="2:8">
      <c r="B23" t="s">
        <v>33</v>
      </c>
      <c r="C23" s="4" t="s">
        <v>34</v>
      </c>
      <c r="D23" s="4" t="s">
        <v>14</v>
      </c>
      <c r="E23" s="5">
        <v>3533</v>
      </c>
      <c r="F23" s="5">
        <v>5834266.8100000005</v>
      </c>
      <c r="G23" s="4">
        <f t="shared" si="0"/>
        <v>1651.3633767336544</v>
      </c>
      <c r="H23" s="4"/>
    </row>
    <row r="24" spans="2:8">
      <c r="B24" t="s">
        <v>35</v>
      </c>
      <c r="C24" s="4" t="s">
        <v>36</v>
      </c>
      <c r="D24" s="4" t="s">
        <v>14</v>
      </c>
      <c r="E24" s="5">
        <v>1087741</v>
      </c>
      <c r="F24" s="5">
        <v>167839321.56000003</v>
      </c>
      <c r="G24" s="4">
        <f t="shared" si="0"/>
        <v>154.30081385182689</v>
      </c>
      <c r="H24" s="4"/>
    </row>
    <row r="25" spans="2:8">
      <c r="B25" t="s">
        <v>10</v>
      </c>
      <c r="C25" s="4" t="s">
        <v>11</v>
      </c>
      <c r="D25" s="4" t="s">
        <v>14</v>
      </c>
      <c r="E25" s="5">
        <v>103479</v>
      </c>
      <c r="F25" s="5">
        <v>123263785.89000005</v>
      </c>
      <c r="G25" s="4">
        <f t="shared" si="0"/>
        <v>1191.1961450149311</v>
      </c>
      <c r="H25" s="4"/>
    </row>
    <row r="26" spans="2:8">
      <c r="B26" t="s">
        <v>37</v>
      </c>
      <c r="C26" s="4" t="s">
        <v>38</v>
      </c>
      <c r="D26" s="4" t="s">
        <v>14</v>
      </c>
      <c r="E26" s="5">
        <v>23402</v>
      </c>
      <c r="F26" s="5">
        <v>34134357.969999999</v>
      </c>
      <c r="G26" s="4">
        <f t="shared" si="0"/>
        <v>1458.6085791812666</v>
      </c>
      <c r="H26" s="4"/>
    </row>
    <row r="27" spans="2:8">
      <c r="B27" t="s">
        <v>39</v>
      </c>
      <c r="C27" s="4" t="s">
        <v>40</v>
      </c>
      <c r="D27" s="4" t="s">
        <v>14</v>
      </c>
      <c r="E27" s="5">
        <v>77000</v>
      </c>
      <c r="F27" s="5">
        <v>58347545.150000006</v>
      </c>
      <c r="G27" s="4">
        <f t="shared" si="0"/>
        <v>757.76032662337673</v>
      </c>
      <c r="H27" s="4"/>
    </row>
    <row r="28" spans="2:8">
      <c r="B28" t="s">
        <v>41</v>
      </c>
      <c r="C28" s="4" t="s">
        <v>42</v>
      </c>
      <c r="D28" s="4" t="s">
        <v>14</v>
      </c>
      <c r="E28" s="5">
        <v>10671</v>
      </c>
      <c r="F28" s="5">
        <v>44246907.340000004</v>
      </c>
      <c r="G28" s="4">
        <f t="shared" si="0"/>
        <v>4146.4630625058571</v>
      </c>
      <c r="H28" s="4"/>
    </row>
    <row r="29" spans="2:8">
      <c r="B29" t="s">
        <v>43</v>
      </c>
      <c r="C29" s="4" t="s">
        <v>44</v>
      </c>
      <c r="D29" s="4" t="s">
        <v>14</v>
      </c>
      <c r="E29" s="5">
        <v>651431</v>
      </c>
      <c r="F29" s="5">
        <v>199209261.44</v>
      </c>
      <c r="G29" s="4">
        <f t="shared" si="0"/>
        <v>305.80255075364852</v>
      </c>
      <c r="H29" s="4"/>
    </row>
    <row r="30" spans="2:8">
      <c r="B30" t="s">
        <v>45</v>
      </c>
      <c r="C30" s="4" t="s">
        <v>46</v>
      </c>
      <c r="D30" s="4" t="s">
        <v>14</v>
      </c>
      <c r="E30" s="5">
        <v>14033</v>
      </c>
      <c r="F30" s="5">
        <v>50077717.140000001</v>
      </c>
      <c r="G30" s="4">
        <f t="shared" si="0"/>
        <v>3568.5681707403978</v>
      </c>
      <c r="H30" s="4"/>
    </row>
    <row r="31" spans="2:8">
      <c r="B31" t="s">
        <v>12</v>
      </c>
      <c r="C31" t="s">
        <v>13</v>
      </c>
      <c r="D31" t="s">
        <v>47</v>
      </c>
      <c r="E31" s="5">
        <v>340265</v>
      </c>
      <c r="F31" s="5">
        <v>24073689.550000001</v>
      </c>
      <c r="G31" s="4">
        <f t="shared" si="0"/>
        <v>70.749826017956593</v>
      </c>
      <c r="H31" s="4"/>
    </row>
    <row r="32" spans="2:8">
      <c r="B32" t="s">
        <v>17</v>
      </c>
      <c r="C32" t="s">
        <v>18</v>
      </c>
      <c r="D32" t="s">
        <v>47</v>
      </c>
      <c r="E32" s="5">
        <v>15000</v>
      </c>
      <c r="F32" s="5">
        <v>10049500</v>
      </c>
      <c r="G32" s="4">
        <f t="shared" si="0"/>
        <v>669.9666666666667</v>
      </c>
      <c r="H32" s="4"/>
    </row>
    <row r="33" spans="2:8">
      <c r="B33" t="s">
        <v>6</v>
      </c>
      <c r="C33" t="s">
        <v>7</v>
      </c>
      <c r="D33" t="s">
        <v>47</v>
      </c>
      <c r="E33" s="5">
        <v>75887</v>
      </c>
      <c r="F33" s="5">
        <v>27299935.5</v>
      </c>
      <c r="G33" s="4">
        <f t="shared" si="0"/>
        <v>359.74456099200125</v>
      </c>
      <c r="H33" s="4"/>
    </row>
    <row r="34" spans="2:8">
      <c r="B34" t="s">
        <v>31</v>
      </c>
      <c r="C34" t="s">
        <v>32</v>
      </c>
      <c r="D34" t="s">
        <v>47</v>
      </c>
      <c r="E34" s="5">
        <v>142064</v>
      </c>
      <c r="F34" s="5">
        <v>5963720</v>
      </c>
      <c r="G34" s="4">
        <f t="shared" si="0"/>
        <v>41.979108007658517</v>
      </c>
      <c r="H34" s="4"/>
    </row>
    <row r="35" spans="2:8">
      <c r="B35" t="s">
        <v>35</v>
      </c>
      <c r="C35" t="s">
        <v>36</v>
      </c>
      <c r="D35" t="s">
        <v>47</v>
      </c>
      <c r="E35" s="5">
        <v>50000</v>
      </c>
      <c r="F35" s="5">
        <v>7120169.2000000002</v>
      </c>
      <c r="G35" s="4">
        <f t="shared" si="0"/>
        <v>142.40338400000002</v>
      </c>
      <c r="H35" s="4"/>
    </row>
    <row r="36" spans="2:8">
      <c r="B36" t="s">
        <v>39</v>
      </c>
      <c r="C36" t="s">
        <v>40</v>
      </c>
      <c r="D36" t="s">
        <v>47</v>
      </c>
      <c r="E36" s="5">
        <v>13000</v>
      </c>
      <c r="F36" s="5">
        <v>9736000</v>
      </c>
      <c r="G36" s="4">
        <f t="shared" si="0"/>
        <v>748.92307692307691</v>
      </c>
      <c r="H36" s="4"/>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sheetPr codeName="Feuil4"/>
  <dimension ref="B2:C80"/>
  <sheetViews>
    <sheetView showGridLines="0" showRowColHeaders="0" workbookViewId="0">
      <selection activeCell="B1" sqref="B1"/>
    </sheetView>
  </sheetViews>
  <sheetFormatPr baseColWidth="10" defaultRowHeight="15"/>
  <cols>
    <col min="2" max="2" width="25.140625" bestFit="1" customWidth="1"/>
  </cols>
  <sheetData>
    <row r="2" spans="2:3">
      <c r="B2" s="24" t="s">
        <v>221</v>
      </c>
      <c r="C2" s="24"/>
    </row>
    <row r="3" spans="2:3">
      <c r="B3" s="12" t="s">
        <v>146</v>
      </c>
      <c r="C3" s="12" t="s">
        <v>1</v>
      </c>
    </row>
    <row r="4" spans="2:3">
      <c r="B4" s="13" t="s">
        <v>114</v>
      </c>
      <c r="C4" s="13" t="s">
        <v>175</v>
      </c>
    </row>
    <row r="5" spans="2:3">
      <c r="B5" t="s">
        <v>56</v>
      </c>
      <c r="C5" t="s">
        <v>16</v>
      </c>
    </row>
    <row r="6" spans="2:3">
      <c r="B6" s="13" t="s">
        <v>128</v>
      </c>
      <c r="C6" s="13" t="s">
        <v>158</v>
      </c>
    </row>
    <row r="7" spans="2:3">
      <c r="B7" t="s">
        <v>57</v>
      </c>
      <c r="C7" t="s">
        <v>18</v>
      </c>
    </row>
    <row r="8" spans="2:3">
      <c r="B8" s="13" t="s">
        <v>58</v>
      </c>
      <c r="C8" s="13" t="s">
        <v>176</v>
      </c>
    </row>
    <row r="9" spans="2:3">
      <c r="B9" t="s">
        <v>59</v>
      </c>
      <c r="C9" t="s">
        <v>5</v>
      </c>
    </row>
    <row r="10" spans="2:3">
      <c r="B10" s="13" t="s">
        <v>60</v>
      </c>
      <c r="C10" s="13" t="s">
        <v>7</v>
      </c>
    </row>
    <row r="11" spans="2:3">
      <c r="B11" t="s">
        <v>61</v>
      </c>
      <c r="C11" t="s">
        <v>154</v>
      </c>
    </row>
    <row r="12" spans="2:3">
      <c r="B12" s="13" t="s">
        <v>62</v>
      </c>
      <c r="C12" s="13" t="s">
        <v>177</v>
      </c>
    </row>
    <row r="13" spans="2:3">
      <c r="B13" t="s">
        <v>129</v>
      </c>
      <c r="C13" t="s">
        <v>178</v>
      </c>
    </row>
    <row r="14" spans="2:3">
      <c r="B14" s="13" t="s">
        <v>63</v>
      </c>
      <c r="C14" s="13" t="s">
        <v>179</v>
      </c>
    </row>
    <row r="15" spans="2:3">
      <c r="B15" t="s">
        <v>19</v>
      </c>
      <c r="C15" t="s">
        <v>19</v>
      </c>
    </row>
    <row r="16" spans="2:3">
      <c r="B16" s="13" t="s">
        <v>64</v>
      </c>
      <c r="C16" s="13" t="s">
        <v>21</v>
      </c>
    </row>
    <row r="17" spans="2:3">
      <c r="B17" t="s">
        <v>22</v>
      </c>
      <c r="C17" t="s">
        <v>23</v>
      </c>
    </row>
    <row r="18" spans="2:3">
      <c r="B18" s="13" t="s">
        <v>65</v>
      </c>
      <c r="C18" s="13" t="s">
        <v>180</v>
      </c>
    </row>
    <row r="19" spans="2:3">
      <c r="B19" t="s">
        <v>115</v>
      </c>
      <c r="C19" t="s">
        <v>181</v>
      </c>
    </row>
    <row r="20" spans="2:3">
      <c r="B20" s="13" t="s">
        <v>66</v>
      </c>
      <c r="C20" s="13" t="s">
        <v>182</v>
      </c>
    </row>
    <row r="21" spans="2:3">
      <c r="B21" t="s">
        <v>24</v>
      </c>
      <c r="C21" t="s">
        <v>24</v>
      </c>
    </row>
    <row r="22" spans="2:3">
      <c r="B22" s="13" t="s">
        <v>67</v>
      </c>
      <c r="C22" s="13" t="s">
        <v>183</v>
      </c>
    </row>
    <row r="23" spans="2:3">
      <c r="B23" t="s">
        <v>25</v>
      </c>
      <c r="C23" t="s">
        <v>25</v>
      </c>
    </row>
    <row r="24" spans="2:3">
      <c r="B24" s="13" t="s">
        <v>26</v>
      </c>
      <c r="C24" s="13" t="s">
        <v>26</v>
      </c>
    </row>
    <row r="25" spans="2:3">
      <c r="B25" t="s">
        <v>112</v>
      </c>
      <c r="C25" t="s">
        <v>149</v>
      </c>
    </row>
    <row r="26" spans="2:3">
      <c r="B26" s="13" t="s">
        <v>111</v>
      </c>
      <c r="C26" s="13" t="s">
        <v>28</v>
      </c>
    </row>
    <row r="27" spans="2:3">
      <c r="B27" t="s">
        <v>68</v>
      </c>
      <c r="C27" t="s">
        <v>156</v>
      </c>
    </row>
    <row r="28" spans="2:3">
      <c r="B28" s="13" t="s">
        <v>69</v>
      </c>
      <c r="C28" s="13" t="s">
        <v>184</v>
      </c>
    </row>
    <row r="29" spans="2:3">
      <c r="B29" t="s">
        <v>70</v>
      </c>
      <c r="C29" t="s">
        <v>70</v>
      </c>
    </row>
    <row r="30" spans="2:3">
      <c r="B30" s="13" t="s">
        <v>71</v>
      </c>
      <c r="C30" s="13" t="s">
        <v>185</v>
      </c>
    </row>
    <row r="31" spans="2:3">
      <c r="B31" t="s">
        <v>120</v>
      </c>
      <c r="C31" t="s">
        <v>186</v>
      </c>
    </row>
    <row r="32" spans="2:3">
      <c r="B32" s="13" t="s">
        <v>123</v>
      </c>
      <c r="C32" s="13" t="s">
        <v>32</v>
      </c>
    </row>
    <row r="33" spans="2:3">
      <c r="B33" t="s">
        <v>72</v>
      </c>
      <c r="C33" t="s">
        <v>187</v>
      </c>
    </row>
    <row r="34" spans="2:3">
      <c r="B34" s="13" t="s">
        <v>73</v>
      </c>
      <c r="C34" s="13" t="s">
        <v>188</v>
      </c>
    </row>
    <row r="35" spans="2:3">
      <c r="B35" t="s">
        <v>74</v>
      </c>
      <c r="C35" t="s">
        <v>13</v>
      </c>
    </row>
    <row r="36" spans="2:3">
      <c r="B36" s="13" t="s">
        <v>116</v>
      </c>
      <c r="C36" s="13" t="s">
        <v>189</v>
      </c>
    </row>
    <row r="37" spans="2:3">
      <c r="B37" t="s">
        <v>75</v>
      </c>
      <c r="C37" t="s">
        <v>34</v>
      </c>
    </row>
    <row r="38" spans="2:3">
      <c r="B38" s="13" t="s">
        <v>76</v>
      </c>
      <c r="C38" s="13" t="s">
        <v>190</v>
      </c>
    </row>
    <row r="39" spans="2:3">
      <c r="B39" t="s">
        <v>77</v>
      </c>
      <c r="C39" t="s">
        <v>191</v>
      </c>
    </row>
    <row r="40" spans="2:3">
      <c r="B40" s="13" t="s">
        <v>131</v>
      </c>
      <c r="C40" s="13" t="s">
        <v>9</v>
      </c>
    </row>
    <row r="41" spans="2:3">
      <c r="B41" t="s">
        <v>78</v>
      </c>
      <c r="C41" t="s">
        <v>78</v>
      </c>
    </row>
    <row r="42" spans="2:3">
      <c r="B42" s="13" t="s">
        <v>79</v>
      </c>
      <c r="C42" s="13" t="s">
        <v>192</v>
      </c>
    </row>
    <row r="43" spans="2:3">
      <c r="B43" t="s">
        <v>80</v>
      </c>
      <c r="C43" t="s">
        <v>193</v>
      </c>
    </row>
    <row r="44" spans="2:3">
      <c r="B44" s="13" t="s">
        <v>130</v>
      </c>
      <c r="C44" s="13" t="s">
        <v>147</v>
      </c>
    </row>
    <row r="45" spans="2:3">
      <c r="B45" t="s">
        <v>113</v>
      </c>
      <c r="C45" t="s">
        <v>159</v>
      </c>
    </row>
    <row r="46" spans="2:3">
      <c r="B46" s="13" t="s">
        <v>81</v>
      </c>
      <c r="C46" s="13" t="s">
        <v>148</v>
      </c>
    </row>
    <row r="47" spans="2:3">
      <c r="B47" t="s">
        <v>82</v>
      </c>
      <c r="C47" t="s">
        <v>11</v>
      </c>
    </row>
    <row r="48" spans="2:3">
      <c r="B48" s="13" t="s">
        <v>110</v>
      </c>
      <c r="C48" s="13" t="s">
        <v>194</v>
      </c>
    </row>
    <row r="49" spans="2:3">
      <c r="B49" t="s">
        <v>83</v>
      </c>
      <c r="C49" t="s">
        <v>155</v>
      </c>
    </row>
    <row r="50" spans="2:3">
      <c r="B50" s="13" t="s">
        <v>126</v>
      </c>
      <c r="C50" s="13" t="s">
        <v>150</v>
      </c>
    </row>
    <row r="51" spans="2:3">
      <c r="B51" t="s">
        <v>84</v>
      </c>
      <c r="C51" t="s">
        <v>195</v>
      </c>
    </row>
    <row r="52" spans="2:3">
      <c r="B52" s="13" t="s">
        <v>85</v>
      </c>
      <c r="C52" s="13" t="s">
        <v>153</v>
      </c>
    </row>
    <row r="53" spans="2:3">
      <c r="B53" t="s">
        <v>86</v>
      </c>
      <c r="C53" t="s">
        <v>38</v>
      </c>
    </row>
    <row r="54" spans="2:3">
      <c r="B54" s="13" t="s">
        <v>87</v>
      </c>
      <c r="C54" s="13" t="s">
        <v>196</v>
      </c>
    </row>
    <row r="55" spans="2:3">
      <c r="B55" t="s">
        <v>88</v>
      </c>
      <c r="C55" t="s">
        <v>197</v>
      </c>
    </row>
    <row r="56" spans="2:3">
      <c r="B56" s="13" t="s">
        <v>89</v>
      </c>
      <c r="C56" s="13" t="s">
        <v>198</v>
      </c>
    </row>
    <row r="57" spans="2:3">
      <c r="B57" t="s">
        <v>90</v>
      </c>
      <c r="C57" t="s">
        <v>199</v>
      </c>
    </row>
    <row r="58" spans="2:3">
      <c r="B58" s="13" t="s">
        <v>122</v>
      </c>
      <c r="C58" s="13" t="s">
        <v>30</v>
      </c>
    </row>
    <row r="59" spans="2:3">
      <c r="B59" t="s">
        <v>91</v>
      </c>
      <c r="C59" t="s">
        <v>200</v>
      </c>
    </row>
    <row r="60" spans="2:3">
      <c r="B60" s="13" t="s">
        <v>92</v>
      </c>
      <c r="C60" s="13" t="s">
        <v>201</v>
      </c>
    </row>
    <row r="61" spans="2:3">
      <c r="B61" t="s">
        <v>119</v>
      </c>
      <c r="C61" t="s">
        <v>202</v>
      </c>
    </row>
    <row r="62" spans="2:3">
      <c r="B62" s="13" t="s">
        <v>118</v>
      </c>
      <c r="C62" s="13" t="s">
        <v>203</v>
      </c>
    </row>
    <row r="63" spans="2:3">
      <c r="B63" t="s">
        <v>93</v>
      </c>
      <c r="C63" t="s">
        <v>204</v>
      </c>
    </row>
    <row r="64" spans="2:3">
      <c r="B64" s="13" t="s">
        <v>94</v>
      </c>
      <c r="C64" s="13" t="s">
        <v>205</v>
      </c>
    </row>
    <row r="65" spans="2:3">
      <c r="B65" t="s">
        <v>121</v>
      </c>
      <c r="C65" t="s">
        <v>160</v>
      </c>
    </row>
    <row r="66" spans="2:3">
      <c r="B66" s="13" t="s">
        <v>95</v>
      </c>
      <c r="C66" s="13" t="s">
        <v>157</v>
      </c>
    </row>
    <row r="67" spans="2:3">
      <c r="B67" t="s">
        <v>96</v>
      </c>
      <c r="C67" t="s">
        <v>40</v>
      </c>
    </row>
    <row r="68" spans="2:3">
      <c r="B68" s="13" t="s">
        <v>97</v>
      </c>
      <c r="C68" s="13" t="s">
        <v>97</v>
      </c>
    </row>
    <row r="69" spans="2:3">
      <c r="B69" t="s">
        <v>42</v>
      </c>
      <c r="C69" t="s">
        <v>42</v>
      </c>
    </row>
    <row r="70" spans="2:3">
      <c r="B70" s="13" t="s">
        <v>98</v>
      </c>
      <c r="C70" s="13" t="s">
        <v>206</v>
      </c>
    </row>
    <row r="71" spans="2:3">
      <c r="B71" t="s">
        <v>99</v>
      </c>
      <c r="C71" t="s">
        <v>44</v>
      </c>
    </row>
    <row r="72" spans="2:3">
      <c r="B72" s="13" t="s">
        <v>100</v>
      </c>
      <c r="C72" s="13" t="s">
        <v>151</v>
      </c>
    </row>
    <row r="73" spans="2:3">
      <c r="B73" t="s">
        <v>101</v>
      </c>
      <c r="C73" t="s">
        <v>207</v>
      </c>
    </row>
    <row r="74" spans="2:3">
      <c r="B74" s="13" t="s">
        <v>117</v>
      </c>
      <c r="C74" s="13" t="s">
        <v>208</v>
      </c>
    </row>
    <row r="75" spans="2:3">
      <c r="B75" t="s">
        <v>102</v>
      </c>
      <c r="C75" t="s">
        <v>152</v>
      </c>
    </row>
    <row r="76" spans="2:3">
      <c r="B76" s="13" t="s">
        <v>103</v>
      </c>
      <c r="C76" s="13" t="s">
        <v>209</v>
      </c>
    </row>
    <row r="77" spans="2:3">
      <c r="B77" t="s">
        <v>104</v>
      </c>
      <c r="C77" t="s">
        <v>210</v>
      </c>
    </row>
    <row r="78" spans="2:3">
      <c r="B78" s="13" t="s">
        <v>105</v>
      </c>
      <c r="C78" s="13" t="s">
        <v>211</v>
      </c>
    </row>
    <row r="79" spans="2:3">
      <c r="B79" t="s">
        <v>106</v>
      </c>
      <c r="C79" t="s">
        <v>46</v>
      </c>
    </row>
    <row r="80" spans="2:3">
      <c r="B80" s="13" t="s">
        <v>124</v>
      </c>
      <c r="C80" s="13" t="s">
        <v>212</v>
      </c>
    </row>
  </sheetData>
  <sortState ref="B2:C82">
    <sortCondition ref="B1"/>
  </sortState>
  <mergeCells count="1">
    <mergeCell ref="B2:C2"/>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Feuil7"/>
  <dimension ref="B2:H36"/>
  <sheetViews>
    <sheetView topLeftCell="B1" workbookViewId="0">
      <selection activeCell="C12" sqref="C12"/>
    </sheetView>
  </sheetViews>
  <sheetFormatPr baseColWidth="10" defaultRowHeight="15"/>
  <cols>
    <col min="2" max="2" width="34.28515625" customWidth="1"/>
    <col min="3" max="3" width="21.5703125" bestFit="1" customWidth="1"/>
    <col min="5" max="5" width="19.28515625" bestFit="1" customWidth="1"/>
    <col min="6" max="6" width="18.85546875" bestFit="1" customWidth="1"/>
    <col min="7" max="7" width="18" bestFit="1" customWidth="1"/>
    <col min="8" max="8" width="14.85546875" bestFit="1" customWidth="1"/>
  </cols>
  <sheetData>
    <row r="2" spans="2:8">
      <c r="B2" s="1" t="s">
        <v>142</v>
      </c>
    </row>
    <row r="4" spans="2:8">
      <c r="B4" s="2" t="s">
        <v>0</v>
      </c>
      <c r="C4" s="2" t="s">
        <v>1</v>
      </c>
      <c r="D4" s="2" t="s">
        <v>2</v>
      </c>
      <c r="E4" s="2" t="s">
        <v>49</v>
      </c>
      <c r="F4" s="2" t="s">
        <v>50</v>
      </c>
      <c r="G4" s="2" t="s">
        <v>107</v>
      </c>
      <c r="H4" s="2" t="s">
        <v>145</v>
      </c>
    </row>
    <row r="5" spans="2:8">
      <c r="B5" t="s">
        <v>4</v>
      </c>
      <c r="C5" t="s">
        <v>59</v>
      </c>
      <c r="D5" t="s">
        <v>3</v>
      </c>
      <c r="E5" s="5">
        <v>24089265</v>
      </c>
      <c r="F5" s="5">
        <v>1687187706.9400001</v>
      </c>
      <c r="G5" s="4">
        <f>F5/E5</f>
        <v>70.038986533628162</v>
      </c>
      <c r="H5" s="4">
        <v>939157.09999990463</v>
      </c>
    </row>
    <row r="6" spans="2:8">
      <c r="B6" t="s">
        <v>127</v>
      </c>
      <c r="C6" t="s">
        <v>60</v>
      </c>
      <c r="D6" t="s">
        <v>3</v>
      </c>
      <c r="E6" s="5">
        <v>3350229</v>
      </c>
      <c r="F6" s="5">
        <v>462394610.417566</v>
      </c>
      <c r="G6" s="4">
        <f t="shared" ref="G6:G36" si="0">F6/E6</f>
        <v>138.01880719722919</v>
      </c>
      <c r="H6" s="4"/>
    </row>
    <row r="7" spans="2:8">
      <c r="B7" t="s">
        <v>8</v>
      </c>
      <c r="C7" t="s">
        <v>131</v>
      </c>
      <c r="D7" t="s">
        <v>3</v>
      </c>
      <c r="E7" s="5">
        <v>211000</v>
      </c>
      <c r="F7" s="5">
        <v>451685278.48000002</v>
      </c>
      <c r="G7" s="4">
        <f t="shared" si="0"/>
        <v>2140.6885236018957</v>
      </c>
      <c r="H7" s="4">
        <v>38125278.480000019</v>
      </c>
    </row>
    <row r="8" spans="2:8">
      <c r="B8" t="s">
        <v>10</v>
      </c>
      <c r="C8" t="s">
        <v>82</v>
      </c>
      <c r="D8" t="s">
        <v>3</v>
      </c>
      <c r="E8" s="5">
        <v>880000</v>
      </c>
      <c r="F8" s="5">
        <v>869843883.54000008</v>
      </c>
      <c r="G8" s="4">
        <f t="shared" si="0"/>
        <v>988.45895856818186</v>
      </c>
      <c r="H8" s="4"/>
    </row>
    <row r="9" spans="2:8">
      <c r="B9" t="s">
        <v>12</v>
      </c>
      <c r="C9" t="s">
        <v>74</v>
      </c>
      <c r="D9" s="4" t="s">
        <v>14</v>
      </c>
      <c r="E9" s="5">
        <v>6056697</v>
      </c>
      <c r="F9" s="5">
        <v>653201620.90999997</v>
      </c>
      <c r="G9" s="4">
        <f t="shared" si="0"/>
        <v>107.84782876046135</v>
      </c>
      <c r="H9" s="4">
        <v>231937522.03</v>
      </c>
    </row>
    <row r="10" spans="2:8">
      <c r="B10" t="s">
        <v>15</v>
      </c>
      <c r="C10" t="s">
        <v>56</v>
      </c>
      <c r="D10" s="4" t="s">
        <v>14</v>
      </c>
      <c r="E10" s="5">
        <v>30662</v>
      </c>
      <c r="F10" s="5">
        <v>52783503.270000003</v>
      </c>
      <c r="G10" s="4">
        <f t="shared" si="0"/>
        <v>1721.4631553714696</v>
      </c>
      <c r="H10" s="4">
        <v>658103.00999999791</v>
      </c>
    </row>
    <row r="11" spans="2:8">
      <c r="B11" t="s">
        <v>132</v>
      </c>
      <c r="C11" t="s">
        <v>57</v>
      </c>
      <c r="D11" s="4" t="s">
        <v>14</v>
      </c>
      <c r="E11" s="5">
        <v>61627</v>
      </c>
      <c r="F11" s="5">
        <v>42744185.079999998</v>
      </c>
      <c r="G11" s="4">
        <f t="shared" si="0"/>
        <v>693.59509760332321</v>
      </c>
      <c r="H11" s="4">
        <v>908386.14999999851</v>
      </c>
    </row>
    <row r="12" spans="2:8">
      <c r="B12" t="s">
        <v>4</v>
      </c>
      <c r="C12" t="s">
        <v>59</v>
      </c>
      <c r="D12" s="4" t="s">
        <v>14</v>
      </c>
      <c r="E12" s="5">
        <v>424009</v>
      </c>
      <c r="F12" s="5">
        <v>28306311.149999999</v>
      </c>
      <c r="G12" s="4">
        <f t="shared" si="0"/>
        <v>66.758750757649011</v>
      </c>
      <c r="H12" s="4"/>
    </row>
    <row r="13" spans="2:8">
      <c r="B13" t="s">
        <v>127</v>
      </c>
      <c r="C13" t="s">
        <v>60</v>
      </c>
      <c r="D13" s="4" t="s">
        <v>14</v>
      </c>
      <c r="E13" s="5">
        <v>200000</v>
      </c>
      <c r="F13" s="5">
        <v>73168529.680000007</v>
      </c>
      <c r="G13" s="4">
        <f t="shared" si="0"/>
        <v>365.84264840000003</v>
      </c>
      <c r="H13" s="4">
        <v>3148527.3599999994</v>
      </c>
    </row>
    <row r="14" spans="2:8">
      <c r="B14" t="s">
        <v>19</v>
      </c>
      <c r="C14" t="s">
        <v>19</v>
      </c>
      <c r="D14" s="4" t="s">
        <v>14</v>
      </c>
      <c r="E14" s="5">
        <v>381848</v>
      </c>
      <c r="F14" s="5">
        <v>82964978.570000008</v>
      </c>
      <c r="G14" s="4">
        <f t="shared" si="0"/>
        <v>217.27226165908951</v>
      </c>
      <c r="H14" s="4">
        <v>7168150.099999994</v>
      </c>
    </row>
    <row r="15" spans="2:8">
      <c r="B15" t="s">
        <v>20</v>
      </c>
      <c r="C15" t="s">
        <v>64</v>
      </c>
      <c r="D15" s="4" t="s">
        <v>14</v>
      </c>
      <c r="E15" s="5">
        <v>500134</v>
      </c>
      <c r="F15" s="5">
        <v>123884827.20999999</v>
      </c>
      <c r="G15" s="4">
        <f t="shared" si="0"/>
        <v>247.7032699436551</v>
      </c>
      <c r="H15" s="4">
        <v>17638925.680000007</v>
      </c>
    </row>
    <row r="16" spans="2:8">
      <c r="B16" t="s">
        <v>22</v>
      </c>
      <c r="C16" t="s">
        <v>22</v>
      </c>
      <c r="D16" s="4" t="s">
        <v>14</v>
      </c>
      <c r="E16" s="5">
        <v>26454</v>
      </c>
      <c r="F16" s="5">
        <v>26767444.920000006</v>
      </c>
      <c r="G16" s="4">
        <f t="shared" si="0"/>
        <v>1011.8486777046952</v>
      </c>
      <c r="H16" s="4">
        <v>2817063.2300000004</v>
      </c>
    </row>
    <row r="17" spans="2:8">
      <c r="B17" t="s">
        <v>133</v>
      </c>
      <c r="C17" t="s">
        <v>24</v>
      </c>
      <c r="D17" s="4" t="s">
        <v>14</v>
      </c>
      <c r="E17" s="5">
        <v>9972</v>
      </c>
      <c r="F17" s="5">
        <v>9004416.8399999999</v>
      </c>
      <c r="G17" s="4">
        <f t="shared" si="0"/>
        <v>902.97</v>
      </c>
      <c r="H17" s="4">
        <v>1451178.629999999</v>
      </c>
    </row>
    <row r="18" spans="2:8">
      <c r="B18" t="s">
        <v>25</v>
      </c>
      <c r="C18" t="s">
        <v>25</v>
      </c>
      <c r="D18" s="4" t="s">
        <v>14</v>
      </c>
      <c r="E18" s="5">
        <v>117342</v>
      </c>
      <c r="F18" s="5">
        <v>190702406.53000009</v>
      </c>
      <c r="G18" s="4">
        <f t="shared" si="0"/>
        <v>1625.1845590666605</v>
      </c>
      <c r="H18" s="4">
        <v>73243012.090000004</v>
      </c>
    </row>
    <row r="19" spans="2:8">
      <c r="B19" t="s">
        <v>26</v>
      </c>
      <c r="C19" t="s">
        <v>26</v>
      </c>
      <c r="D19" s="4" t="s">
        <v>14</v>
      </c>
      <c r="E19" s="5">
        <v>78244</v>
      </c>
      <c r="F19" s="5">
        <v>22199880.945499998</v>
      </c>
      <c r="G19" s="4">
        <f t="shared" si="0"/>
        <v>283.72630419584885</v>
      </c>
      <c r="H19" s="4">
        <v>967078.0700000003</v>
      </c>
    </row>
    <row r="20" spans="2:8">
      <c r="B20" t="s">
        <v>27</v>
      </c>
      <c r="C20" t="s">
        <v>111</v>
      </c>
      <c r="D20" s="4" t="s">
        <v>14</v>
      </c>
      <c r="E20" s="5">
        <v>27519</v>
      </c>
      <c r="F20" s="5">
        <v>30511691.6204</v>
      </c>
      <c r="G20" s="4">
        <f t="shared" si="0"/>
        <v>1108.7500134597915</v>
      </c>
    </row>
    <row r="21" spans="2:8">
      <c r="B21" t="s">
        <v>29</v>
      </c>
      <c r="C21" t="s">
        <v>122</v>
      </c>
      <c r="D21" s="4" t="s">
        <v>14</v>
      </c>
      <c r="E21" s="5">
        <v>14823</v>
      </c>
      <c r="F21" s="5">
        <v>33999616.969999999</v>
      </c>
      <c r="G21" s="4">
        <f t="shared" si="0"/>
        <v>2293.7068724279834</v>
      </c>
      <c r="H21" s="4">
        <v>1396677.8200000003</v>
      </c>
    </row>
    <row r="22" spans="2:8">
      <c r="B22" t="s">
        <v>31</v>
      </c>
      <c r="C22" t="s">
        <v>123</v>
      </c>
      <c r="D22" s="4" t="s">
        <v>14</v>
      </c>
      <c r="E22" s="5">
        <v>610126</v>
      </c>
      <c r="F22" s="5">
        <v>27575608.43</v>
      </c>
      <c r="G22" s="4">
        <f t="shared" si="0"/>
        <v>45.196579772047087</v>
      </c>
      <c r="H22" s="4">
        <v>3175870.1699999981</v>
      </c>
    </row>
    <row r="23" spans="2:8">
      <c r="B23" t="s">
        <v>33</v>
      </c>
      <c r="C23" t="s">
        <v>75</v>
      </c>
      <c r="D23" s="4" t="s">
        <v>14</v>
      </c>
      <c r="E23" s="5">
        <v>3533</v>
      </c>
      <c r="F23" s="5">
        <v>5834266.8100000005</v>
      </c>
      <c r="G23" s="4">
        <f t="shared" si="0"/>
        <v>1651.3633767336544</v>
      </c>
      <c r="H23" s="4"/>
    </row>
    <row r="24" spans="2:8">
      <c r="B24" t="s">
        <v>35</v>
      </c>
      <c r="C24" t="s">
        <v>130</v>
      </c>
      <c r="D24" s="4" t="s">
        <v>14</v>
      </c>
      <c r="E24" s="5">
        <v>1087741</v>
      </c>
      <c r="F24" s="5">
        <v>167839321.56000003</v>
      </c>
      <c r="G24" s="4">
        <f t="shared" si="0"/>
        <v>154.30081385182689</v>
      </c>
      <c r="H24" s="4">
        <v>20341640.370000001</v>
      </c>
    </row>
    <row r="25" spans="2:8">
      <c r="B25" t="s">
        <v>10</v>
      </c>
      <c r="C25" t="s">
        <v>82</v>
      </c>
      <c r="D25" s="4" t="s">
        <v>14</v>
      </c>
      <c r="E25" s="5">
        <v>103479</v>
      </c>
      <c r="F25" s="5">
        <v>123263785.89000005</v>
      </c>
      <c r="G25" s="4">
        <f t="shared" si="0"/>
        <v>1191.1961450149311</v>
      </c>
      <c r="H25" s="4"/>
    </row>
    <row r="26" spans="2:8">
      <c r="B26" t="s">
        <v>37</v>
      </c>
      <c r="C26" t="s">
        <v>86</v>
      </c>
      <c r="D26" s="4" t="s">
        <v>14</v>
      </c>
      <c r="E26" s="5">
        <v>23402</v>
      </c>
      <c r="F26" s="5">
        <v>34134357.969999999</v>
      </c>
      <c r="G26" s="4">
        <f t="shared" si="0"/>
        <v>1458.6085791812666</v>
      </c>
      <c r="H26" s="4"/>
    </row>
    <row r="27" spans="2:8">
      <c r="B27" t="s">
        <v>39</v>
      </c>
      <c r="C27" t="s">
        <v>96</v>
      </c>
      <c r="D27" s="4" t="s">
        <v>14</v>
      </c>
      <c r="E27" s="5">
        <v>77000</v>
      </c>
      <c r="F27" s="5">
        <v>58347545.150000006</v>
      </c>
      <c r="G27" s="4">
        <f t="shared" si="0"/>
        <v>757.76032662337673</v>
      </c>
      <c r="H27" s="4">
        <v>2137544.1599999964</v>
      </c>
    </row>
    <row r="28" spans="2:8">
      <c r="B28" t="s">
        <v>41</v>
      </c>
      <c r="C28" t="s">
        <v>42</v>
      </c>
      <c r="D28" s="4" t="s">
        <v>14</v>
      </c>
      <c r="E28" s="5">
        <v>10671</v>
      </c>
      <c r="F28" s="5">
        <v>44246907.340000004</v>
      </c>
      <c r="G28" s="4">
        <f t="shared" si="0"/>
        <v>4146.4630625058571</v>
      </c>
      <c r="H28" s="4">
        <v>3803817.0199999996</v>
      </c>
    </row>
    <row r="29" spans="2:8">
      <c r="B29" t="s">
        <v>43</v>
      </c>
      <c r="C29" t="s">
        <v>99</v>
      </c>
      <c r="D29" s="4" t="s">
        <v>14</v>
      </c>
      <c r="E29" s="5">
        <v>651431</v>
      </c>
      <c r="F29" s="5">
        <v>199209261.44</v>
      </c>
      <c r="G29" s="4">
        <f t="shared" si="0"/>
        <v>305.80255075364852</v>
      </c>
      <c r="H29" s="4"/>
    </row>
    <row r="30" spans="2:8">
      <c r="B30" t="s">
        <v>45</v>
      </c>
      <c r="C30" t="s">
        <v>106</v>
      </c>
      <c r="D30" s="4" t="s">
        <v>14</v>
      </c>
      <c r="E30" s="5">
        <v>14033</v>
      </c>
      <c r="F30" s="5">
        <v>50077717.140000001</v>
      </c>
      <c r="G30" s="4">
        <f t="shared" si="0"/>
        <v>3568.5681707403978</v>
      </c>
      <c r="H30" s="4"/>
    </row>
    <row r="31" spans="2:8">
      <c r="B31" t="s">
        <v>12</v>
      </c>
      <c r="C31" t="s">
        <v>74</v>
      </c>
      <c r="D31" t="s">
        <v>47</v>
      </c>
      <c r="E31" s="5">
        <v>340265</v>
      </c>
      <c r="F31" s="5">
        <v>24073689.550000001</v>
      </c>
      <c r="G31" s="4">
        <f t="shared" si="0"/>
        <v>70.749826017956593</v>
      </c>
      <c r="H31" s="4"/>
    </row>
    <row r="32" spans="2:8">
      <c r="B32" t="s">
        <v>132</v>
      </c>
      <c r="C32" t="s">
        <v>57</v>
      </c>
      <c r="D32" t="s">
        <v>47</v>
      </c>
      <c r="E32" s="5">
        <v>15000</v>
      </c>
      <c r="F32" s="5">
        <v>10049500</v>
      </c>
      <c r="G32" s="4">
        <f t="shared" si="0"/>
        <v>669.9666666666667</v>
      </c>
      <c r="H32" s="4"/>
    </row>
    <row r="33" spans="2:8">
      <c r="B33" t="s">
        <v>127</v>
      </c>
      <c r="C33" t="s">
        <v>60</v>
      </c>
      <c r="D33" t="s">
        <v>47</v>
      </c>
      <c r="E33" s="5">
        <v>75887</v>
      </c>
      <c r="F33" s="5">
        <v>27299935.5</v>
      </c>
      <c r="G33" s="4">
        <f t="shared" si="0"/>
        <v>359.74456099200125</v>
      </c>
      <c r="H33" s="4"/>
    </row>
    <row r="34" spans="2:8">
      <c r="B34" t="s">
        <v>31</v>
      </c>
      <c r="C34" t="s">
        <v>123</v>
      </c>
      <c r="D34" t="s">
        <v>47</v>
      </c>
      <c r="E34" s="5">
        <v>142064</v>
      </c>
      <c r="F34" s="5">
        <v>5963720</v>
      </c>
      <c r="G34" s="4">
        <f t="shared" si="0"/>
        <v>41.979108007658517</v>
      </c>
      <c r="H34" s="4"/>
    </row>
    <row r="35" spans="2:8">
      <c r="B35" t="s">
        <v>35</v>
      </c>
      <c r="C35" t="s">
        <v>130</v>
      </c>
      <c r="D35" t="s">
        <v>47</v>
      </c>
      <c r="E35" s="5">
        <v>50000</v>
      </c>
      <c r="F35" s="5">
        <v>7120169.2000000002</v>
      </c>
      <c r="G35" s="4">
        <f t="shared" si="0"/>
        <v>142.40338400000002</v>
      </c>
      <c r="H35" s="4"/>
    </row>
    <row r="36" spans="2:8">
      <c r="B36" t="s">
        <v>39</v>
      </c>
      <c r="C36" t="s">
        <v>96</v>
      </c>
      <c r="D36" t="s">
        <v>47</v>
      </c>
      <c r="E36" s="5">
        <v>13000</v>
      </c>
      <c r="F36" s="5">
        <v>9736000</v>
      </c>
      <c r="G36" s="4">
        <f t="shared" si="0"/>
        <v>748.92307692307691</v>
      </c>
      <c r="H36" s="4"/>
    </row>
  </sheetData>
  <pageMargins left="0.7" right="0.7" top="0.75" bottom="0.75" header="0.3" footer="0.3"/>
  <pageSetup paperSize="0" orientation="portrait" horizontalDpi="0" verticalDpi="0" copie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Sommaire</vt:lpstr>
      <vt:lpstr>Manuel</vt:lpstr>
      <vt:lpstr>Récap</vt:lpstr>
      <vt:lpstr>Composition</vt:lpstr>
      <vt:lpstr>Cours</vt:lpstr>
      <vt:lpstr>composition (2)</vt:lpstr>
      <vt:lpstr>Dictionnaire codes</vt:lpstr>
      <vt:lpstr>Composition (3)</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2006-09-12T15:06:44Z</dcterms:created>
  <dcterms:modified xsi:type="dcterms:W3CDTF">2012-08-27T23:59:42Z</dcterms:modified>
</cp:coreProperties>
</file>